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xr:revisionPtr revIDLastSave="0" documentId="13_ncr:801_{E2122F24-BC61-40AB-AE4D-A80C66E536E4}" xr6:coauthVersionLast="47" xr6:coauthVersionMax="47" xr10:uidLastSave="{00000000-0000-0000-0000-000000000000}"/>
  <bookViews>
    <workbookView visibility="hidden" xWindow="2616" yWindow="2616" windowWidth="17280" windowHeight="8880" firstSheet="2"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oleSize ref="A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<sst xmlns="http://schemas.openxmlformats.org/spreadsheetml/2006/main" count="351" uniqueCount="133">
  <si>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</si>
  <si>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</si>
  <si>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</si>
  <si>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</si>
  <si>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</si>
  <si>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</si>
  <si>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</si>
  <si>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</si>
  <si>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</si>
  <si>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</si>
  <si>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</si>
  <si>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</si>
  <si>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</si>
  <si>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</si>
  <si>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</si>
  <si>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</si>
  <si>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</si>
  <si>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</si>
  <si>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</si>
  <si>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</si>
  <si>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</si>
  <si>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</si>
  <si>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</si>
  <si>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</si>
  <si>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</si>
  <si>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</si>
  <si>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</si>
  <si>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</si>
  <si>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</si>
  <si>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</si>
  <si>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</si>
  <si>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Manager</t>
  </si>
  <si>
    <t>Make plans</t>
  </si>
  <si>
    <t>Realizar reparto de tareas para el requisito 0</t>
  </si>
  <si>
    <t>Analyst</t>
  </si>
  <si>
    <t>Write report</t>
  </si>
  <si>
    <t>Realizar Chartening Report</t>
  </si>
  <si>
    <t>Initialise repository</t>
  </si>
  <si>
    <t>Instanciar repositorio de GitHub</t>
  </si>
  <si>
    <t>ALL</t>
  </si>
  <si>
    <t>Other</t>
  </si>
  <si>
    <t>Other (Describe)</t>
  </si>
  <si>
    <t>Rellenar el Identification Form</t>
  </si>
  <si>
    <t>Development</t>
  </si>
  <si>
    <t>Developer</t>
  </si>
  <si>
    <t>Create dev. config.</t>
  </si>
  <si>
    <t>Instanciar el proyecto Hello-World como Acme-Starters-C</t>
  </si>
  <si>
    <t>Customise the starter</t>
  </si>
  <si>
    <t>Personalizar proyecto base acorde a las diapositivas S03</t>
  </si>
  <si>
    <t>Implement feature</t>
  </si>
  <si>
    <t>Añadir Constraints del modelo CG</t>
  </si>
  <si>
    <t>Revision</t>
  </si>
  <si>
    <t>Tester</t>
  </si>
  <si>
    <t>Check task</t>
  </si>
  <si>
    <t>T0005/D</t>
  </si>
  <si>
    <t>Revisar tarea</t>
  </si>
  <si>
    <t>Repartición de requisitos del nivel C</t>
  </si>
  <si>
    <t>Realización del requisito S1/1 (Implementación del modelo Model C01)</t>
  </si>
  <si>
    <t>Realización del requisito S2/1 (Implementación del modelo Model C02)</t>
  </si>
  <si>
    <t>Realización del requisito S3/1 (Implementación del modelo Model C03)</t>
  </si>
  <si>
    <t>Realización del requisito S4/1 (Implementación del modelo Model C04)</t>
  </si>
  <si>
    <t>Realización del requisito S5/1 (Implementación del modelo Model C05)</t>
  </si>
  <si>
    <t>Deliverable D02</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</si>
  <si>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</si>
  <si>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</si>
  <si>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</si>
  <si>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</si>
  <si>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</si>
  <si>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</si>
  <si>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</si>
  <si>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</si>
  <si>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</si>
  <si>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</si>
  <si>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</si>
  <si>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</si>
  <si>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</si>
  <si>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Student</t>
  </si>
  <si>
    <t>Attend lecture</t>
  </si>
  <si>
    <t>Study and train</t>
  </si>
  <si>
    <t>Attend work meeting</t>
  </si>
  <si>
    <t>Make re-plannings</t>
  </si>
  <si>
    <t>Supervise task</t>
  </si>
  <si>
    <t>Elicit requirements</t>
  </si>
  <si>
    <t>Define features</t>
  </si>
  <si>
    <t>Create domain model</t>
  </si>
  <si>
    <t>Test feature informally</t>
  </si>
  <si>
    <t>Check deliverable</t>
  </si>
  <si>
    <t>Test feature formally</t>
  </si>
  <si>
    <t>Test performance formally</t>
  </si>
  <si>
    <t>Operator</t>
  </si>
  <si>
    <t>Prepare dep. platf.</t>
  </si>
  <si>
    <t>Package deliverable</t>
  </si>
  <si>
    <t>Upload deliverable</t>
  </si>
  <si>
    <t>Deploy application</t>
  </si>
  <si>
    <t>Keep application running</t>
  </si>
  <si>
    <t>Task types</t>
  </si>
  <si>
    <t>Key</t>
  </si>
  <si>
    <t>M</t>
  </si>
  <si>
    <t>D</t>
  </si>
  <si>
    <t>QA</t>
  </si>
  <si>
    <t>R</t>
  </si>
  <si>
    <t>O</t>
  </si>
  <si>
    <t>Actualización del framework a la versión 26.2</t>
  </si>
  <si>
    <t>Student 1</t>
  </si>
  <si>
    <t>Student 2</t>
  </si>
  <si>
    <t>Student 3</t>
  </si>
  <si>
    <t>Student 4</t>
  </si>
  <si>
    <t>Student 5</t>
  </si>
  <si>
    <t>Realización del requisito S1/2</t>
  </si>
  <si>
    <t>Realización del requisito S2/2</t>
  </si>
  <si>
    <t>Realización del requisito S3/2</t>
  </si>
  <si>
    <t>Realización del requisito S4/2</t>
  </si>
  <si>
    <t>Realización del requisito S5/2</t>
  </si>
  <si>
    <t>Realización del requisito S1/3</t>
  </si>
  <si>
    <t>Realización del requisito S2/3</t>
  </si>
  <si>
    <t>Realización del requisito S3/3</t>
  </si>
  <si>
    <t>Realización del requisito S4/3</t>
  </si>
  <si>
    <t>Realización del requisito S5/3</t>
  </si>
  <si>
    <t>Realización del requisito S1/4</t>
  </si>
  <si>
    <t>Realización del requisito S2/4</t>
  </si>
  <si>
    <t>Realización del requisito S3/4</t>
  </si>
  <si>
    <t>Realización del requisito S4/4</t>
  </si>
  <si>
    <t>Realización del requisito S5/4</t>
  </si>
  <si>
    <t>Realización del requisito S1/5</t>
  </si>
  <si>
    <t>Realización del requisito S2/5</t>
  </si>
  <si>
    <t>Realización del requisito S3/5</t>
  </si>
  <si>
    <t>Realización del requisito S4/5</t>
  </si>
  <si>
    <t>Realización del requisito S5/5</t>
  </si>
  <si>
    <t>Realización del requisito S1/6</t>
  </si>
  <si>
    <t>Realización del requisito S2/6</t>
  </si>
  <si>
    <t>Realización del requisito S3/6</t>
  </si>
  <si>
    <t>Realización del requisito S4/6</t>
  </si>
  <si>
    <t>Realización del requisito S5/6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</si>
</sst>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0">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2" fontId="0" fillId="4" borderId="0" xfId="0" applyNumberFormat="1" applyFill="1"/>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09375" defaultRowHeight="14.4" x14ac:dyDescent="0.3"/>
  <cols>
    <col min="1" max="16384" width="9.109375" style="1"/>
  </cols>
  <sheetData>
    <row r="2" spans="2:10" x14ac:dyDescent="0.3">
      <c r="B2" s="56" t="s">
        <v>0</v>
      </c>
      <c r="C2" s="56"/>
      <c r="D2" s="56"/>
      <c r="E2" s="56"/>
      <c r="F2" s="56"/>
      <c r="G2" s="56"/>
      <c r="H2" s="56"/>
      <c r="I2" s="56"/>
      <c r="J2" s="56"/>
    </row>
    <row r="4" spans="2:10" x14ac:dyDescent="0.3">
      <c r="B4" s="54" t="s">
        <v>1</v>
      </c>
      <c r="C4" s="55"/>
      <c r="D4" s="55"/>
      <c r="E4" s="55"/>
      <c r="F4" s="55"/>
      <c r="G4" s="55"/>
      <c r="H4" s="55"/>
      <c r="I4" s="55"/>
      <c r="J4" s="55"/>
    </row>
    <row r="5" spans="2:10" x14ac:dyDescent="0.3">
      <c r="B5" s="55"/>
      <c r="C5" s="55"/>
      <c r="D5" s="55"/>
      <c r="E5" s="55"/>
      <c r="F5" s="55"/>
      <c r="G5" s="55"/>
      <c r="H5" s="55"/>
      <c r="I5" s="55"/>
      <c r="J5" s="55"/>
    </row>
    <row r="6" spans="2:10" x14ac:dyDescent="0.3">
      <c r="B6" s="55"/>
      <c r="C6" s="55"/>
      <c r="D6" s="55"/>
      <c r="E6" s="55"/>
      <c r="F6" s="55"/>
      <c r="G6" s="55"/>
      <c r="H6" s="55"/>
      <c r="I6" s="55"/>
      <c r="J6" s="55"/>
    </row>
    <row r="7" spans="2:10" x14ac:dyDescent="0.3">
      <c r="B7" s="55"/>
      <c r="C7" s="55"/>
      <c r="D7" s="55"/>
      <c r="E7" s="55"/>
      <c r="F7" s="55"/>
      <c r="G7" s="55"/>
      <c r="H7" s="55"/>
      <c r="I7" s="55"/>
      <c r="J7" s="55"/>
    </row>
    <row r="8" spans="2:10" x14ac:dyDescent="0.3">
      <c r="B8" s="55"/>
      <c r="C8" s="55"/>
      <c r="D8" s="55"/>
      <c r="E8" s="55"/>
      <c r="F8" s="55"/>
      <c r="G8" s="55"/>
      <c r="H8" s="55"/>
      <c r="I8" s="55"/>
      <c r="J8" s="55"/>
    </row>
    <row r="9" spans="2:10" x14ac:dyDescent="0.3">
      <c r="B9" s="55"/>
      <c r="C9" s="55"/>
      <c r="D9" s="55"/>
      <c r="E9" s="55"/>
      <c r="F9" s="55"/>
      <c r="G9" s="55"/>
      <c r="H9" s="55"/>
      <c r="I9" s="55"/>
      <c r="J9" s="55"/>
    </row>
    <row r="10" spans="2:10" x14ac:dyDescent="0.3">
      <c r="B10" s="55"/>
      <c r="C10" s="55"/>
      <c r="D10" s="55"/>
      <c r="E10" s="55"/>
      <c r="F10" s="55"/>
      <c r="G10" s="55"/>
      <c r="H10" s="55"/>
      <c r="I10" s="55"/>
      <c r="J10" s="55"/>
    </row>
    <row r="11" spans="2:10" x14ac:dyDescent="0.3">
      <c r="B11" s="55"/>
      <c r="C11" s="55"/>
      <c r="D11" s="55"/>
      <c r="E11" s="55"/>
      <c r="F11" s="55"/>
      <c r="G11" s="55"/>
      <c r="H11" s="55"/>
      <c r="I11" s="55"/>
      <c r="J11" s="55"/>
    </row>
    <row r="12" spans="2:10" x14ac:dyDescent="0.3">
      <c r="B12" s="55"/>
      <c r="C12" s="55"/>
      <c r="D12" s="55"/>
      <c r="E12" s="55"/>
      <c r="F12" s="55"/>
      <c r="G12" s="55"/>
      <c r="H12" s="55"/>
      <c r="I12" s="55"/>
      <c r="J12" s="55"/>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8.88671875" defaultRowHeight="14.4" x14ac:dyDescent="0.3"/>
  <sheetData>
    <row r="2" spans="2:10" x14ac:dyDescent="0.3">
      <c r="B2" s="56" t="s">
        <v>2</v>
      </c>
      <c r="C2" s="56"/>
      <c r="D2" s="56"/>
      <c r="E2" s="56"/>
      <c r="F2" s="56"/>
      <c r="G2" s="56"/>
      <c r="H2" s="56"/>
      <c r="I2" s="56"/>
      <c r="J2" s="56"/>
    </row>
    <row r="3" spans="2:10" x14ac:dyDescent="0.3">
      <c r="B3" s="2"/>
      <c r="C3" s="1"/>
      <c r="D3" s="1"/>
      <c r="E3" s="1"/>
      <c r="F3" s="1"/>
      <c r="G3" s="1"/>
      <c r="H3" s="1"/>
      <c r="I3" s="1"/>
      <c r="J3" s="1"/>
    </row>
    <row r="4" spans="2:10" ht="15" customHeight="1" x14ac:dyDescent="0.3">
      <c r="B4" s="54" t="s">
        <v>3</v>
      </c>
      <c r="C4" s="54"/>
      <c r="D4" s="54"/>
      <c r="E4" s="54"/>
      <c r="F4" s="54"/>
      <c r="G4" s="54"/>
      <c r="H4" s="54"/>
      <c r="I4" s="54"/>
      <c r="J4" s="54"/>
    </row>
    <row r="5" spans="2:10" x14ac:dyDescent="0.3">
      <c r="B5" s="54"/>
      <c r="C5" s="54"/>
      <c r="D5" s="54"/>
      <c r="E5" s="54"/>
      <c r="F5" s="54"/>
      <c r="G5" s="54"/>
      <c r="H5" s="54"/>
      <c r="I5" s="54"/>
      <c r="J5" s="54"/>
    </row>
    <row r="6" spans="2:10" x14ac:dyDescent="0.3">
      <c r="B6" s="54"/>
      <c r="C6" s="54"/>
      <c r="D6" s="54"/>
      <c r="E6" s="54"/>
      <c r="F6" s="54"/>
      <c r="G6" s="54"/>
      <c r="H6" s="54"/>
      <c r="I6" s="54"/>
      <c r="J6" s="54"/>
    </row>
    <row r="7" spans="2:10" x14ac:dyDescent="0.3">
      <c r="B7" s="1"/>
      <c r="C7" s="1"/>
      <c r="D7" s="1"/>
      <c r="E7" s="1"/>
      <c r="F7" s="1"/>
      <c r="G7" s="1"/>
      <c r="H7" s="1"/>
      <c r="I7" s="1"/>
      <c r="J7" s="1"/>
    </row>
    <row r="8" spans="2:10" x14ac:dyDescent="0.3">
      <c r="B8" s="39"/>
      <c r="C8" s="40" t="s">
        <v>4</v>
      </c>
      <c r="D8" s="1"/>
      <c r="E8" s="1"/>
      <c r="F8" s="1"/>
      <c r="G8" s="1"/>
      <c r="H8" s="1"/>
      <c r="I8" s="1"/>
      <c r="J8" s="1"/>
    </row>
    <row r="9" spans="2:10" x14ac:dyDescent="0.3">
      <c r="B9" s="4"/>
      <c r="C9" s="57" t="s">
        <v>5</v>
      </c>
      <c r="D9" s="57"/>
      <c r="E9" s="57"/>
      <c r="F9" s="57"/>
      <c r="G9" s="57"/>
      <c r="H9" s="57"/>
      <c r="I9" s="57"/>
      <c r="J9" s="57"/>
    </row>
    <row r="10" spans="2:10" x14ac:dyDescent="0.3">
      <c r="B10" s="49"/>
      <c r="C10" s="57" t="s">
        <v>6</v>
      </c>
      <c r="D10" s="57"/>
      <c r="E10" s="57"/>
      <c r="F10" s="57"/>
      <c r="G10" s="57"/>
      <c r="H10" s="57"/>
      <c r="I10" s="57"/>
      <c r="J10" s="57"/>
    </row>
    <row r="11" spans="2:10" x14ac:dyDescent="0.3">
      <c r="B11" s="50"/>
      <c r="C11" s="48" t="s">
        <v>7</v>
      </c>
      <c r="D11" s="48"/>
      <c r="E11" s="48"/>
      <c r="F11" s="48"/>
      <c r="G11" s="48"/>
      <c r="H11" s="48"/>
      <c r="I11" s="48"/>
      <c r="J11" s="48"/>
    </row>
    <row r="12" spans="2:10" x14ac:dyDescent="0.3">
      <c r="B12" s="3"/>
      <c r="C12" s="57" t="s">
        <v>8</v>
      </c>
      <c r="D12" s="57"/>
      <c r="E12" s="57"/>
      <c r="F12" s="57"/>
      <c r="G12" s="57"/>
      <c r="H12" s="57"/>
      <c r="I12" s="57"/>
      <c r="J12" s="57"/>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zoomScaleNormal="100" workbookViewId="0">
      <pane ySplit="10" topLeftCell="A11" activePane="bottomLeft" state="frozen"/>
      <selection pane="bottomLeft" activeCell="L7" sqref="L7"/>
    </sheetView>
  </sheetViews>
  <sheetFormatPr baseColWidth="10" defaultColWidth="8.88671875" defaultRowHeight="14.4" x14ac:dyDescent="0.3"/>
  <cols>
    <col min="3" max="15" width="18.88671875" customWidth="1"/>
    <col min="16" max="16" width="64.5546875" customWidth="1"/>
  </cols>
  <sheetData>
    <row r="2" spans="2:16" x14ac:dyDescent="0.3">
      <c r="C2" s="56" t="s">
        <v>9</v>
      </c>
      <c r="D2" s="56"/>
      <c r="E2" s="56"/>
      <c r="F2" s="56"/>
      <c r="G2" s="56"/>
      <c r="H2" s="56"/>
      <c r="I2" s="56"/>
      <c r="J2" s="56"/>
      <c r="K2" s="56"/>
      <c r="L2" s="56"/>
      <c r="M2" s="56"/>
      <c r="N2" s="56"/>
      <c r="O2" s="56"/>
      <c r="P2" s="56"/>
    </row>
    <row r="4" spans="2:16" ht="15" customHeight="1" x14ac:dyDescent="0.3">
      <c r="C4" s="54" t="s">
        <v>10</v>
      </c>
      <c r="D4" s="54"/>
      <c r="E4" s="54"/>
      <c r="F4" s="54"/>
      <c r="G4" s="54"/>
      <c r="H4" s="54"/>
      <c r="I4" s="54"/>
      <c r="J4" s="54"/>
      <c r="K4" s="54"/>
      <c r="L4" s="54"/>
      <c r="M4" s="54"/>
      <c r="N4" s="54"/>
      <c r="O4" s="54"/>
      <c r="P4" s="54"/>
    </row>
    <row r="5" spans="2:16" x14ac:dyDescent="0.3">
      <c r="C5" s="5"/>
      <c r="D5" s="5"/>
      <c r="E5" s="5"/>
      <c r="F5" s="5"/>
      <c r="G5" s="5"/>
      <c r="H5" s="5"/>
      <c r="I5" s="5"/>
      <c r="J5" s="5"/>
      <c r="K5" s="5"/>
      <c r="L5" s="5"/>
      <c r="M5" s="5"/>
      <c r="N5" s="5"/>
      <c r="O5" s="5"/>
      <c r="P5" s="5"/>
    </row>
    <row r="6" spans="2:16" x14ac:dyDescent="0.3">
      <c r="C6" s="58" t="s">
        <v>11</v>
      </c>
      <c r="D6" s="10" t="s">
        <v>12</v>
      </c>
      <c r="E6" s="35">
        <f>SUM(N11:N110)</f>
        <v>3666.25</v>
      </c>
      <c r="F6" s="5"/>
      <c r="G6" s="5"/>
      <c r="H6" s="5"/>
      <c r="I6" s="5"/>
      <c r="J6" s="5"/>
      <c r="K6" s="5"/>
      <c r="L6" s="5"/>
      <c r="M6" s="5"/>
      <c r="N6" s="5"/>
      <c r="O6" s="5"/>
      <c r="P6" s="5"/>
    </row>
    <row r="7" spans="2:16" x14ac:dyDescent="0.3">
      <c r="C7" s="58"/>
      <c r="D7" s="11" t="s">
        <v>13</v>
      </c>
      <c r="E7" s="36">
        <f>SUM(O11:O110)</f>
        <v>405</v>
      </c>
      <c r="J7" s="37"/>
    </row>
    <row r="9" spans="2:16" x14ac:dyDescent="0.3">
      <c r="B9" s="6"/>
      <c r="C9" s="7"/>
      <c r="D9" s="7"/>
      <c r="E9" s="7"/>
      <c r="F9" s="7"/>
      <c r="G9" s="7"/>
      <c r="H9" s="7"/>
      <c r="I9" s="59" t="s">
        <v>14</v>
      </c>
      <c r="J9" s="59"/>
      <c r="K9" s="7"/>
      <c r="L9" s="59" t="s">
        <v>15</v>
      </c>
      <c r="M9" s="59"/>
      <c r="N9" s="59" t="s">
        <v>16</v>
      </c>
      <c r="O9" s="59"/>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x14ac:dyDescent="0.3">
      <c r="B11" s="41">
        <v>1</v>
      </c>
      <c r="C11" s="42" t="str">
        <f>IF(ISBLANK(D11), "", _xlfn.CONCAT("T", TEXT(B11, "0000"), "/", VLOOKUP(D11, Internal!$B$35:C$39, 2, FALSE), IF(OR(D11="QA", D11="Revision"), _xlfn.CONCAT("/", H11), "")))</f>
        <v>T0001/M</v>
      </c>
      <c r="D11" s="44" t="s">
        <v>30</v>
      </c>
      <c r="E11" s="43" t="s">
        <v>103</v>
      </c>
      <c r="F11" s="43" t="s">
        <v>31</v>
      </c>
      <c r="G11" s="44" t="s">
        <v>32</v>
      </c>
      <c r="H11" s="43"/>
      <c r="I11" s="46">
        <v>46056.354166666664</v>
      </c>
      <c r="J11" s="46">
        <v>46056.4375</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33</v>
      </c>
    </row>
    <row r="12" spans="2:16" ht="15" thickBot="1" x14ac:dyDescent="0.35">
      <c r="B12" s="41">
        <v>2</v>
      </c>
      <c r="C12" s="42" t="str">
        <f>IF(ISBLANK(D12), "", _xlfn.CONCAT("T", TEXT(B12, "0000"), "/", VLOOKUP(D12, Internal!$B$35:C$39, 2, FALSE), IF(OR(D12="QA", D12="Revision"), _xlfn.CONCAT("/", H12), "")))</f>
        <v>T0002/M</v>
      </c>
      <c r="D12" s="44" t="s">
        <v>30</v>
      </c>
      <c r="E12" s="43" t="s">
        <v>104</v>
      </c>
      <c r="F12" s="43" t="s">
        <v>34</v>
      </c>
      <c r="G12" s="44" t="s">
        <v>35</v>
      </c>
      <c r="H12" s="43"/>
      <c r="I12" s="46">
        <v>46067.645833333336</v>
      </c>
      <c r="J12" s="46">
        <v>46067.8125</v>
      </c>
      <c r="K12" s="45" t="str">
        <f t="shared" ref="K12:K75" ca="1" si="0">IF(OR(I12="",J12=""),"",IF(AND(J12&lt;&gt;"",I12&gt;=NOW()),"Planned",IF(AND(J12&lt;&gt;"",J12&lt;NOW()),"Completed","Ongoing")))</f>
        <v>Completed</v>
      </c>
      <c r="L12" s="47">
        <v>3</v>
      </c>
      <c r="M12" s="47">
        <v>4</v>
      </c>
      <c r="N12" s="45">
        <f>IF(ISBLANK(L12), "", L12*VLOOKUP($F12,Internal!$B$26:$C$32,2,FALSE))</f>
        <v>120</v>
      </c>
      <c r="O12" s="45">
        <f>IF(ISBLANK(M12), "", M12*VLOOKUP($F12,Internal!$B$26:$C$32,2,FALSE))</f>
        <v>160</v>
      </c>
      <c r="P12" s="44" t="s">
        <v>36</v>
      </c>
    </row>
    <row r="13" spans="2:16" ht="15" thickBot="1" x14ac:dyDescent="0.35">
      <c r="B13" s="41">
        <v>3</v>
      </c>
      <c r="C13" s="42" t="str">
        <f>IF(ISBLANK(D13), "", _xlfn.CONCAT("T", TEXT(B13, "0000"), "/", VLOOKUP(D13, Internal!$B$35:C$39, 2, FALSE), IF(OR(D13="QA", D13="Revision"), _xlfn.CONCAT("/", H13), "")))</f>
        <v>T0003/M</v>
      </c>
      <c r="D13" s="44" t="s">
        <v>30</v>
      </c>
      <c r="E13" s="43" t="s">
        <v>105</v>
      </c>
      <c r="F13" s="43" t="s">
        <v>31</v>
      </c>
      <c r="G13" s="44" t="s">
        <v>37</v>
      </c>
      <c r="H13" s="43"/>
      <c r="I13" s="46">
        <v>46058.770833333336</v>
      </c>
      <c r="J13" s="46">
        <v>46058.78125</v>
      </c>
      <c r="K13" s="45" t="str">
        <f t="shared" ca="1" si="0"/>
        <v>Completed</v>
      </c>
      <c r="L13" s="47">
        <v>0.25</v>
      </c>
      <c r="M13" s="47">
        <v>0.25</v>
      </c>
      <c r="N13" s="45">
        <f>IF(ISBLANK(L13), "", L13*VLOOKUP($F13,Internal!$B$26:$C$32,2,FALSE))</f>
        <v>12.5</v>
      </c>
      <c r="O13" s="45">
        <f>IF(ISBLANK(M13), "", M13*VLOOKUP($F13,Internal!$B$26:$C$32,2,FALSE))</f>
        <v>12.5</v>
      </c>
      <c r="P13" s="44" t="s">
        <v>38</v>
      </c>
    </row>
    <row r="14" spans="2:16" ht="15" thickBot="1" x14ac:dyDescent="0.35">
      <c r="B14" s="41">
        <v>4</v>
      </c>
      <c r="C14" s="42" t="str">
        <f>IF(ISBLANK(D14), "", _xlfn.CONCAT("T", TEXT(B14, "0000"), "/", VLOOKUP(D14, Internal!$B$35:C$39, 2, FALSE), IF(OR(D14="QA", D14="Revision"), _xlfn.CONCAT("/", H14), "")))</f>
        <v>T0004/M</v>
      </c>
      <c r="D14" s="44" t="s">
        <v>30</v>
      </c>
      <c r="E14" s="43" t="s">
        <v>39</v>
      </c>
      <c r="F14" s="43" t="s">
        <v>40</v>
      </c>
      <c r="G14" s="44" t="s">
        <v>41</v>
      </c>
      <c r="H14" s="43"/>
      <c r="I14" s="46">
        <v>46069.4375</v>
      </c>
      <c r="J14" s="46"/>
      <c r="K14" s="45" t="str">
        <f t="shared" ca="1" si="0"/>
        <v/>
      </c>
      <c r="L14" s="47">
        <v>0.5</v>
      </c>
      <c r="M14" s="47">
        <v>0.5</v>
      </c>
      <c r="N14" s="45">
        <f>IF(ISBLANK(L14), "", L14*VLOOKUP($F14,Internal!$B$26:$C$32,2,FALSE))</f>
        <v>5</v>
      </c>
      <c r="O14" s="45">
        <f>IF(ISBLANK(M14), "", M14*VLOOKUP($F14,Internal!$B$26:$C$32,2,FALSE))</f>
        <v>5</v>
      </c>
      <c r="P14" s="44" t="s">
        <v>42</v>
      </c>
    </row>
    <row r="15" spans="2:16" ht="15" thickBot="1" x14ac:dyDescent="0.35">
      <c r="B15" s="41">
        <v>5</v>
      </c>
      <c r="C15" s="42" t="str">
        <f>IF(ISBLANK(D15), "", _xlfn.CONCAT("T", TEXT(B15, "0000"), "/", VLOOKUP(D15, Internal!$B$35:C$39, 2, FALSE), IF(OR(D15="QA", D15="Revision"), _xlfn.CONCAT("/", H15), "")))</f>
        <v>T0005/D</v>
      </c>
      <c r="D15" s="44" t="s">
        <v>43</v>
      </c>
      <c r="E15" s="43" t="s">
        <v>105</v>
      </c>
      <c r="F15" s="43" t="s">
        <v>44</v>
      </c>
      <c r="G15" s="44" t="s">
        <v>45</v>
      </c>
      <c r="H15" s="43"/>
      <c r="I15" s="46">
        <v>46058.791666666664</v>
      </c>
      <c r="J15" s="46">
        <v>46058.8125</v>
      </c>
      <c r="K15" s="45" t="str">
        <f t="shared" ca="1" si="0"/>
        <v>Completed</v>
      </c>
      <c r="L15" s="47">
        <v>0.25</v>
      </c>
      <c r="M15" s="47">
        <v>0.5</v>
      </c>
      <c r="N15" s="45">
        <f>IF(ISBLANK(L15), "", L15*VLOOKUP($F15,Internal!$B$26:$C$32,2,FALSE))</f>
        <v>6.25</v>
      </c>
      <c r="O15" s="45">
        <f>IF(ISBLANK(M15), "", M15*VLOOKUP($F15,Internal!$B$26:$C$32,2,FALSE))</f>
        <v>12.5</v>
      </c>
      <c r="P15" s="44" t="s">
        <v>46</v>
      </c>
    </row>
    <row r="16" spans="2:16" ht="15" thickBot="1" x14ac:dyDescent="0.35">
      <c r="B16" s="41">
        <v>6</v>
      </c>
      <c r="C16" s="42" t="str">
        <f>IF(ISBLANK(D16), "", _xlfn.CONCAT("T", TEXT(B16, "0000"), "/", VLOOKUP(D16, Internal!$B$35:C$39, 2, FALSE), IF(OR(D16="QA", D16="Revision"), _xlfn.CONCAT("/", H16), "")))</f>
        <v>T0006/D</v>
      </c>
      <c r="D16" s="44" t="s">
        <v>43</v>
      </c>
      <c r="E16" s="43" t="s">
        <v>107</v>
      </c>
      <c r="F16" s="43" t="s">
        <v>44</v>
      </c>
      <c r="G16" s="44" t="s">
        <v>47</v>
      </c>
      <c r="H16" s="43"/>
      <c r="I16" s="46">
        <v>46059.4375</v>
      </c>
      <c r="J16" s="46">
        <v>46059.520833333336</v>
      </c>
      <c r="K16" s="45" t="str">
        <f t="shared" ca="1" si="0"/>
        <v>Completed</v>
      </c>
      <c r="L16" s="47">
        <v>3</v>
      </c>
      <c r="M16" s="47">
        <v>2</v>
      </c>
      <c r="N16" s="45">
        <f>IF(ISBLANK(L16), "", L16*VLOOKUP($F16,Internal!$B$26:$C$32,2,FALSE))</f>
        <v>75</v>
      </c>
      <c r="O16" s="45">
        <f>IF(ISBLANK(M16), "", M16*VLOOKUP($F16,Internal!$B$26:$C$32,2,FALSE))</f>
        <v>50</v>
      </c>
      <c r="P16" s="44" t="s">
        <v>48</v>
      </c>
    </row>
    <row r="17" spans="2:16" ht="15" thickBot="1" x14ac:dyDescent="0.35">
      <c r="B17" s="41">
        <v>7</v>
      </c>
      <c r="C17" s="42" t="str">
        <f>IF(ISBLANK(D17), "", _xlfn.CONCAT("T", TEXT(B17, "0000"), "/", VLOOKUP(D17, Internal!$B$35:C$39, 2, FALSE), IF(OR(D17="QA", D17="Revision"), _xlfn.CONCAT("/", H17), "")))</f>
        <v>T0007/D</v>
      </c>
      <c r="D17" s="44" t="s">
        <v>43</v>
      </c>
      <c r="E17" s="43" t="s">
        <v>103</v>
      </c>
      <c r="F17" s="43" t="s">
        <v>44</v>
      </c>
      <c r="G17" s="44" t="s">
        <v>49</v>
      </c>
      <c r="H17" s="43"/>
      <c r="I17" s="46">
        <v>46059.875</v>
      </c>
      <c r="J17" s="46">
        <v>46059.885416666664</v>
      </c>
      <c r="K17" s="45" t="str">
        <f t="shared" ca="1" si="0"/>
        <v>Completed</v>
      </c>
      <c r="L17" s="47">
        <v>0.5</v>
      </c>
      <c r="M17" s="47">
        <v>0.25</v>
      </c>
      <c r="N17" s="45">
        <f>IF(ISBLANK(L17), "", L17*VLOOKUP($F17,Internal!$B$26:$C$32,2,FALSE))</f>
        <v>12.5</v>
      </c>
      <c r="O17" s="45">
        <f>IF(ISBLANK(M17), "", M17*VLOOKUP($F17,Internal!$B$26:$C$32,2,FALSE))</f>
        <v>6.25</v>
      </c>
      <c r="P17" s="44" t="s">
        <v>50</v>
      </c>
    </row>
    <row r="18" spans="2:16" ht="15" thickBot="1" x14ac:dyDescent="0.35">
      <c r="B18" s="41">
        <v>8</v>
      </c>
      <c r="C18" s="42" t="str">
        <f>IF(ISBLANK(D18), "", _xlfn.CONCAT("T", TEXT(B18, "0000"), "/", VLOOKUP(D18, Internal!$B$35:C$39, 2, FALSE), IF(OR(D18="QA", D18="Revision"), _xlfn.CONCAT("/", H18), "")))</f>
        <v>T0008/R/T0005/D</v>
      </c>
      <c r="D18" s="44" t="s">
        <v>51</v>
      </c>
      <c r="E18" s="43" t="s">
        <v>106</v>
      </c>
      <c r="F18" s="43" t="s">
        <v>52</v>
      </c>
      <c r="G18" s="44" t="s">
        <v>53</v>
      </c>
      <c r="H18" s="43" t="s">
        <v>54</v>
      </c>
      <c r="I18" s="46">
        <v>46060.416666666664</v>
      </c>
      <c r="J18" s="46">
        <v>46060.4375</v>
      </c>
      <c r="K18" s="45" t="str">
        <f t="shared" ca="1" si="0"/>
        <v>Completed</v>
      </c>
      <c r="L18" s="47">
        <v>1</v>
      </c>
      <c r="M18" s="47">
        <v>0.5</v>
      </c>
      <c r="N18" s="45">
        <f>IF(ISBLANK(L18), "", L18*VLOOKUP($F18,Internal!$B$26:$C$32,2,FALSE))</f>
        <v>30</v>
      </c>
      <c r="O18" s="45">
        <f>IF(ISBLANK(M18), "", M18*VLOOKUP($F18,Internal!$B$26:$C$32,2,FALSE))</f>
        <v>15</v>
      </c>
      <c r="P18" s="44" t="s">
        <v>55</v>
      </c>
    </row>
    <row r="19" spans="2:16" ht="15" thickBot="1" x14ac:dyDescent="0.35">
      <c r="B19" s="41">
        <v>9</v>
      </c>
      <c r="C19" s="42" t="str">
        <f>IF(ISBLANK(D19), "", _xlfn.CONCAT("T", TEXT(B19, "0000"), "/", VLOOKUP(D19, Internal!$B$35:C$39, 2, FALSE), IF(OR(D19="QA", D19="Revision"), _xlfn.CONCAT("/", H19), "")))</f>
        <v>T0009/M</v>
      </c>
      <c r="D19" s="44" t="s">
        <v>30</v>
      </c>
      <c r="E19" s="43" t="s">
        <v>103</v>
      </c>
      <c r="F19" s="43" t="s">
        <v>31</v>
      </c>
      <c r="G19" s="44" t="s">
        <v>32</v>
      </c>
      <c r="H19" s="43"/>
      <c r="I19" s="46">
        <v>46061.895833333336</v>
      </c>
      <c r="J19" s="46">
        <v>46061.916666666664</v>
      </c>
      <c r="K19" s="45" t="str">
        <f t="shared" ca="1" si="0"/>
        <v>Completed</v>
      </c>
      <c r="L19" s="47">
        <v>0.5</v>
      </c>
      <c r="M19" s="47">
        <v>0.5</v>
      </c>
      <c r="N19" s="45">
        <f>IF(ISBLANK(L19), "", L19*VLOOKUP($F19,Internal!$B$26:$C$32,2,FALSE))</f>
        <v>25</v>
      </c>
      <c r="O19" s="45">
        <f>IF(ISBLANK(M19), "", M19*VLOOKUP($F19,Internal!$B$26:$C$32,2,FALSE))</f>
        <v>25</v>
      </c>
      <c r="P19" s="44" t="s">
        <v>56</v>
      </c>
    </row>
    <row r="20" spans="2:16" ht="15" thickBot="1" x14ac:dyDescent="0.35">
      <c r="B20" s="41">
        <v>10</v>
      </c>
      <c r="C20" s="42" t="str">
        <f>IF(ISBLANK(D20), "", _xlfn.CONCAT("T", TEXT(B20, "0000"), "/", VLOOKUP(D20, Internal!$B$35:C$39, 2, FALSE), IF(OR(D20="QA", D20="Revision"), _xlfn.CONCAT("/", H20), "")))</f>
        <v>T0010/D</v>
      </c>
      <c r="D20" s="44" t="s">
        <v>43</v>
      </c>
      <c r="E20" s="43" t="s">
        <v>103</v>
      </c>
      <c r="F20" s="43" t="s">
        <v>44</v>
      </c>
      <c r="G20" s="44" t="s">
        <v>49</v>
      </c>
      <c r="H20" s="43"/>
      <c r="I20" s="46"/>
      <c r="J20" s="46"/>
      <c r="K20" s="45" t="str">
        <f t="shared" ca="1" si="0"/>
        <v/>
      </c>
      <c r="L20" s="47">
        <v>2</v>
      </c>
      <c r="M20" s="47"/>
      <c r="N20" s="45">
        <f>IF(ISBLANK(L20), "", L20*VLOOKUP($F20,Internal!$B$26:$C$32,2,FALSE))</f>
        <v>50</v>
      </c>
      <c r="O20" s="45" t="str">
        <f>IF(ISBLANK(M20), "", M20*VLOOKUP($F20,Internal!$B$26:$C$32,2,FALSE))</f>
        <v/>
      </c>
      <c r="P20" s="44" t="s">
        <v>57</v>
      </c>
    </row>
    <row r="21" spans="2:16" ht="15" thickBot="1" x14ac:dyDescent="0.35">
      <c r="B21" s="41">
        <v>11</v>
      </c>
      <c r="C21" s="42" t="str">
        <f>IF(ISBLANK(D21), "", _xlfn.CONCAT("T", TEXT(B21, "0000"), "/", VLOOKUP(D21, Internal!$B$35:C$39, 2, FALSE), IF(OR(D21="QA", D21="Revision"), _xlfn.CONCAT("/", H21), "")))</f>
        <v>T0011/D</v>
      </c>
      <c r="D21" s="44" t="s">
        <v>43</v>
      </c>
      <c r="E21" s="43" t="s">
        <v>104</v>
      </c>
      <c r="F21" s="43" t="s">
        <v>44</v>
      </c>
      <c r="G21" s="44" t="s">
        <v>49</v>
      </c>
      <c r="H21" s="43"/>
      <c r="I21" s="46"/>
      <c r="J21" s="46"/>
      <c r="K21" s="45" t="str">
        <f t="shared" ref="K21:K24" ca="1" si="1">IF(OR(I21="",J21=""),"",IF(AND(J21&lt;&gt;"",I21&gt;=NOW()),"Planned",IF(AND(J21&lt;&gt;"",J21&lt;NOW()),"Completed","Ongoing")))</f>
        <v/>
      </c>
      <c r="L21" s="47">
        <v>2</v>
      </c>
      <c r="M21" s="47"/>
      <c r="N21" s="45">
        <f>IF(ISBLANK(L21), "", L21*VLOOKUP($F21,Internal!$B$26:$C$32,2,FALSE))</f>
        <v>50</v>
      </c>
      <c r="O21" s="45" t="str">
        <f>IF(ISBLANK(M21), "", M21*VLOOKUP($F21,Internal!$B$26:$C$32,2,FALSE))</f>
        <v/>
      </c>
      <c r="P21" s="44" t="s">
        <v>58</v>
      </c>
    </row>
    <row r="22" spans="2:16" ht="15" thickBot="1" x14ac:dyDescent="0.35">
      <c r="B22" s="41">
        <v>12</v>
      </c>
      <c r="C22" s="42" t="str">
        <f>IF(ISBLANK(D22), "", _xlfn.CONCAT("T", TEXT(B22, "0000"), "/", VLOOKUP(D22, Internal!$B$35:C$39, 2, FALSE), IF(OR(D22="QA", D22="Revision"), _xlfn.CONCAT("/", H22), "")))</f>
        <v>T0012/D</v>
      </c>
      <c r="D22" s="44" t="s">
        <v>43</v>
      </c>
      <c r="E22" s="43" t="s">
        <v>105</v>
      </c>
      <c r="F22" s="43" t="s">
        <v>44</v>
      </c>
      <c r="G22" s="44" t="s">
        <v>49</v>
      </c>
      <c r="H22" s="43"/>
      <c r="I22" s="46">
        <v>46075.875</v>
      </c>
      <c r="J22" s="46">
        <v>46075.947916666664</v>
      </c>
      <c r="K22" s="45" t="str">
        <f t="shared" ca="1" si="1"/>
        <v>Completed</v>
      </c>
      <c r="L22" s="47">
        <v>2</v>
      </c>
      <c r="M22" s="47">
        <v>1.75</v>
      </c>
      <c r="N22" s="45">
        <f>IF(ISBLANK(L22), "", L22*VLOOKUP($F22,Internal!$B$26:$C$32,2,FALSE))</f>
        <v>50</v>
      </c>
      <c r="O22" s="45">
        <f>IF(ISBLANK(M22), "", M22*VLOOKUP($F22,Internal!$B$26:$C$32,2,FALSE))</f>
        <v>43.75</v>
      </c>
      <c r="P22" s="44" t="s">
        <v>59</v>
      </c>
    </row>
    <row r="23" spans="2:16" ht="15" thickBot="1" x14ac:dyDescent="0.35">
      <c r="B23" s="41">
        <v>13</v>
      </c>
      <c r="C23" s="42" t="str">
        <f>IF(ISBLANK(D23), "", _xlfn.CONCAT("T", TEXT(B23, "0000"), "/", VLOOKUP(D23, Internal!$B$35:C$39, 2, FALSE), IF(OR(D23="QA", D23="Revision"), _xlfn.CONCAT("/", H23), "")))</f>
        <v>T0013/D</v>
      </c>
      <c r="D23" s="44" t="s">
        <v>43</v>
      </c>
      <c r="E23" s="43" t="s">
        <v>106</v>
      </c>
      <c r="F23" s="43" t="s">
        <v>44</v>
      </c>
      <c r="G23" s="44" t="s">
        <v>49</v>
      </c>
      <c r="H23" s="43"/>
      <c r="I23" s="46"/>
      <c r="J23" s="46"/>
      <c r="K23" s="45" t="str">
        <f t="shared" ca="1" si="1"/>
        <v/>
      </c>
      <c r="L23" s="47">
        <v>2</v>
      </c>
      <c r="M23" s="47"/>
      <c r="N23" s="45">
        <f>IF(ISBLANK(L23), "", L23*VLOOKUP($F23,Internal!$B$26:$C$32,2,FALSE))</f>
        <v>50</v>
      </c>
      <c r="O23" s="45" t="str">
        <f>IF(ISBLANK(M23), "", M23*VLOOKUP($F23,Internal!$B$26:$C$32,2,FALSE))</f>
        <v/>
      </c>
      <c r="P23" s="44" t="s">
        <v>60</v>
      </c>
    </row>
    <row r="24" spans="2:16" ht="15" thickBot="1" x14ac:dyDescent="0.35">
      <c r="B24" s="41">
        <v>14</v>
      </c>
      <c r="C24" s="42" t="str">
        <f>IF(ISBLANK(D24), "", _xlfn.CONCAT("T", TEXT(B24, "0000"), "/", VLOOKUP(D24, Internal!$B$35:C$39, 2, FALSE), IF(OR(D24="QA", D24="Revision"), _xlfn.CONCAT("/", H24), "")))</f>
        <v>T0014/D</v>
      </c>
      <c r="D24" s="44" t="s">
        <v>43</v>
      </c>
      <c r="E24" s="43" t="s">
        <v>107</v>
      </c>
      <c r="F24" s="43" t="s">
        <v>44</v>
      </c>
      <c r="G24" s="44" t="s">
        <v>49</v>
      </c>
      <c r="H24" s="43"/>
      <c r="I24" s="46"/>
      <c r="J24" s="46"/>
      <c r="K24" s="45" t="str">
        <f t="shared" ca="1" si="1"/>
        <v/>
      </c>
      <c r="L24" s="47">
        <v>2</v>
      </c>
      <c r="M24" s="47"/>
      <c r="N24" s="45">
        <f>IF(ISBLANK(L24), "", L24*VLOOKUP($F24,Internal!$B$26:$C$32,2,FALSE))</f>
        <v>50</v>
      </c>
      <c r="O24" s="45" t="str">
        <f>IF(ISBLANK(M24), "", M24*VLOOKUP($F24,Internal!$B$26:$C$32,2,FALSE))</f>
        <v/>
      </c>
      <c r="P24" s="44" t="s">
        <v>61</v>
      </c>
    </row>
    <row r="25" spans="2:16" ht="15" thickBot="1" x14ac:dyDescent="0.35">
      <c r="B25" s="41">
        <v>15</v>
      </c>
      <c r="C25" s="42" t="str">
        <f>IF(ISBLANK(D25), "", _xlfn.CONCAT("T", TEXT(B25, "0000"), "/", VLOOKUP(D25, Internal!$B$35:C$39, 2, FALSE), IF(OR(D25="QA", D25="Revision"), _xlfn.CONCAT("/", H25), "")))</f>
        <v>T0015/M</v>
      </c>
      <c r="D25" s="44" t="s">
        <v>30</v>
      </c>
      <c r="E25" s="43" t="s">
        <v>106</v>
      </c>
      <c r="F25" s="43" t="s">
        <v>89</v>
      </c>
      <c r="G25" s="44" t="s">
        <v>90</v>
      </c>
      <c r="H25" s="43"/>
      <c r="I25" s="46"/>
      <c r="J25" s="46"/>
      <c r="K25" s="45" t="str">
        <f t="shared" ca="1" si="0"/>
        <v/>
      </c>
      <c r="L25" s="47">
        <v>1</v>
      </c>
      <c r="M25" s="47"/>
      <c r="N25" s="45">
        <f>IF(ISBLANK(L25), "", L25*VLOOKUP($F25,Internal!$B$26:$C$32,2,FALSE))</f>
        <v>30</v>
      </c>
      <c r="O25" s="45" t="str">
        <f>IF(ISBLANK(M25), "", M25*VLOOKUP($F25,Internal!$B$26:$C$32,2,FALSE))</f>
        <v/>
      </c>
      <c r="P25" s="44" t="s">
        <v>102</v>
      </c>
    </row>
    <row r="26" spans="2:16" ht="15" thickBot="1" x14ac:dyDescent="0.35">
      <c r="B26" s="41">
        <v>16</v>
      </c>
      <c r="C26" s="42" t="str">
        <f>IF(ISBLANK(D26), "", _xlfn.CONCAT("T", TEXT(B26, "0000"), "/", VLOOKUP(D26, Internal!$B$35:C$39, 2, FALSE), IF(OR(D26="QA", D26="Revision"), _xlfn.CONCAT("/", H26), "")))</f>
        <v>T0016/D</v>
      </c>
      <c r="D26" s="44" t="s">
        <v>43</v>
      </c>
      <c r="E26" s="43" t="s">
        <v>103</v>
      </c>
      <c r="F26" s="43" t="s">
        <v>44</v>
      </c>
      <c r="G26" s="44" t="s">
        <v>49</v>
      </c>
      <c r="H26" s="43"/>
      <c r="I26" s="46"/>
      <c r="J26" s="46"/>
      <c r="K26" s="45" t="str">
        <f t="shared" ref="K26:K30" ca="1" si="2">IF(OR(I26="",J26=""),"",IF(AND(J26&lt;&gt;"",I26&gt;=NOW()),"Planned",IF(AND(J26&lt;&gt;"",J26&lt;NOW()),"Completed","Ongoing")))</f>
        <v/>
      </c>
      <c r="L26" s="47">
        <v>5</v>
      </c>
      <c r="M26" s="47"/>
      <c r="N26" s="45">
        <f>IF(ISBLANK(L26), "", L26*VLOOKUP($F26,Internal!$B$26:$C$32,2,FALSE))</f>
        <v>125</v>
      </c>
      <c r="O26" s="45" t="str">
        <f>IF(ISBLANK(M26), "", M26*VLOOKUP($F26,Internal!$B$26:$C$32,2,FALSE))</f>
        <v/>
      </c>
      <c r="P26" s="44" t="s">
        <v>108</v>
      </c>
    </row>
    <row r="27" spans="2:16" ht="15" thickBot="1" x14ac:dyDescent="0.35">
      <c r="B27" s="41">
        <v>17</v>
      </c>
      <c r="C27" s="42" t="str">
        <f>IF(ISBLANK(D27), "", _xlfn.CONCAT("T", TEXT(B27, "0000"), "/", VLOOKUP(D27, Internal!$B$35:C$39, 2, FALSE), IF(OR(D27="QA", D27="Revision"), _xlfn.CONCAT("/", H27), "")))</f>
        <v>T0017/D</v>
      </c>
      <c r="D27" s="44" t="s">
        <v>43</v>
      </c>
      <c r="E27" s="43" t="s">
        <v>104</v>
      </c>
      <c r="F27" s="43" t="s">
        <v>44</v>
      </c>
      <c r="G27" s="44" t="s">
        <v>49</v>
      </c>
      <c r="H27" s="43"/>
      <c r="I27" s="46"/>
      <c r="J27" s="46"/>
      <c r="K27" s="45" t="str">
        <f t="shared" ca="1" si="2"/>
        <v/>
      </c>
      <c r="L27" s="53">
        <v>5</v>
      </c>
      <c r="M27" s="47"/>
      <c r="N27" s="45">
        <f>IF(ISBLANK(L27), "", L27*VLOOKUP($F27,Internal!$B$26:$C$32,2,FALSE))</f>
        <v>125</v>
      </c>
      <c r="O27" s="45" t="str">
        <f>IF(ISBLANK(M27), "", M27*VLOOKUP($F27,Internal!$B$26:$C$32,2,FALSE))</f>
        <v/>
      </c>
      <c r="P27" s="44" t="s">
        <v>109</v>
      </c>
    </row>
    <row r="28" spans="2:16" ht="15" thickBot="1" x14ac:dyDescent="0.35">
      <c r="B28" s="41">
        <v>18</v>
      </c>
      <c r="C28" s="42" t="str">
        <f>IF(ISBLANK(D28), "", _xlfn.CONCAT("T", TEXT(B28, "0000"), "/", VLOOKUP(D28, Internal!$B$35:C$39, 2, FALSE), IF(OR(D28="QA", D28="Revision"), _xlfn.CONCAT("/", H28), "")))</f>
        <v>T0018/D</v>
      </c>
      <c r="D28" s="44" t="s">
        <v>43</v>
      </c>
      <c r="E28" s="43" t="s">
        <v>105</v>
      </c>
      <c r="F28" s="43" t="s">
        <v>44</v>
      </c>
      <c r="G28" s="44" t="s">
        <v>49</v>
      </c>
      <c r="H28" s="43"/>
      <c r="I28" s="46"/>
      <c r="J28" s="46"/>
      <c r="K28" s="45" t="str">
        <f t="shared" ca="1" si="2"/>
        <v/>
      </c>
      <c r="L28" s="47">
        <v>5</v>
      </c>
      <c r="M28" s="47"/>
      <c r="N28" s="45">
        <f>IF(ISBLANK(L28), "", L28*VLOOKUP($F28,Internal!$B$26:$C$32,2,FALSE))</f>
        <v>125</v>
      </c>
      <c r="O28" s="45" t="str">
        <f>IF(ISBLANK(M28), "", M28*VLOOKUP($F28,Internal!$B$26:$C$32,2,FALSE))</f>
        <v/>
      </c>
      <c r="P28" s="44" t="s">
        <v>110</v>
      </c>
    </row>
    <row r="29" spans="2:16" ht="15" thickBot="1" x14ac:dyDescent="0.35">
      <c r="B29" s="41">
        <v>19</v>
      </c>
      <c r="C29" s="42" t="str">
        <f>IF(ISBLANK(D29), "", _xlfn.CONCAT("T", TEXT(B29, "0000"), "/", VLOOKUP(D29, Internal!$B$35:C$39, 2, FALSE), IF(OR(D29="QA", D29="Revision"), _xlfn.CONCAT("/", H29), "")))</f>
        <v>T0019/D</v>
      </c>
      <c r="D29" s="44" t="s">
        <v>43</v>
      </c>
      <c r="E29" s="43" t="s">
        <v>106</v>
      </c>
      <c r="F29" s="43" t="s">
        <v>44</v>
      </c>
      <c r="G29" s="44" t="s">
        <v>49</v>
      </c>
      <c r="H29" s="43"/>
      <c r="I29" s="46"/>
      <c r="J29" s="46"/>
      <c r="K29" s="45" t="str">
        <f t="shared" ca="1" si="2"/>
        <v/>
      </c>
      <c r="L29" s="47">
        <v>5</v>
      </c>
      <c r="M29" s="47"/>
      <c r="N29" s="45">
        <f>IF(ISBLANK(L29), "", L29*VLOOKUP($F29,Internal!$B$26:$C$32,2,FALSE))</f>
        <v>125</v>
      </c>
      <c r="O29" s="45" t="str">
        <f>IF(ISBLANK(M29), "", M29*VLOOKUP($F29,Internal!$B$26:$C$32,2,FALSE))</f>
        <v/>
      </c>
      <c r="P29" s="44" t="s">
        <v>111</v>
      </c>
    </row>
    <row r="30" spans="2:16" ht="15" thickBot="1" x14ac:dyDescent="0.35">
      <c r="B30" s="41">
        <v>20</v>
      </c>
      <c r="C30" s="42" t="str">
        <f>IF(ISBLANK(D30), "", _xlfn.CONCAT("T", TEXT(B30, "0000"), "/", VLOOKUP(D30, Internal!$B$35:C$39, 2, FALSE), IF(OR(D30="QA", D30="Revision"), _xlfn.CONCAT("/", H30), "")))</f>
        <v>T0020/D</v>
      </c>
      <c r="D30" s="44" t="s">
        <v>43</v>
      </c>
      <c r="E30" s="43" t="s">
        <v>107</v>
      </c>
      <c r="F30" s="43" t="s">
        <v>44</v>
      </c>
      <c r="G30" s="44" t="s">
        <v>49</v>
      </c>
      <c r="H30" s="43"/>
      <c r="I30" s="46"/>
      <c r="J30" s="46"/>
      <c r="K30" s="45" t="str">
        <f t="shared" ca="1" si="2"/>
        <v/>
      </c>
      <c r="L30" s="47">
        <v>5</v>
      </c>
      <c r="M30" s="47"/>
      <c r="N30" s="45">
        <f>IF(ISBLANK(L30), "", L30*VLOOKUP($F30,Internal!$B$26:$C$32,2,FALSE))</f>
        <v>125</v>
      </c>
      <c r="O30" s="45" t="str">
        <f>IF(ISBLANK(M30), "", M30*VLOOKUP($F30,Internal!$B$26:$C$32,2,FALSE))</f>
        <v/>
      </c>
      <c r="P30" s="44" t="s">
        <v>112</v>
      </c>
    </row>
    <row r="31" spans="2:16" ht="15" thickBot="1" x14ac:dyDescent="0.35">
      <c r="B31" s="41">
        <v>21</v>
      </c>
      <c r="C31" s="42" t="str">
        <f>IF(ISBLANK(D31), "", _xlfn.CONCAT("T", TEXT(B31, "0000"), "/", VLOOKUP(D31, Internal!$B$35:C$39, 2, FALSE), IF(OR(D31="QA", D31="Revision"), _xlfn.CONCAT("/", H31), "")))</f>
        <v>T0021/D</v>
      </c>
      <c r="D31" s="44" t="s">
        <v>43</v>
      </c>
      <c r="E31" s="43" t="s">
        <v>103</v>
      </c>
      <c r="F31" s="43" t="s">
        <v>44</v>
      </c>
      <c r="G31" s="44" t="s">
        <v>49</v>
      </c>
      <c r="H31" s="43"/>
      <c r="I31" s="46"/>
      <c r="J31" s="46"/>
      <c r="K31" s="45" t="str">
        <f t="shared" ref="K31:K35" ca="1" si="3">IF(OR(I31="",J31=""),"",IF(AND(J31&lt;&gt;"",I31&gt;=NOW()),"Planned",IF(AND(J31&lt;&gt;"",J31&lt;NOW()),"Completed","Ongoing")))</f>
        <v/>
      </c>
      <c r="L31" s="47">
        <v>8</v>
      </c>
      <c r="M31" s="47"/>
      <c r="N31" s="45">
        <f>IF(ISBLANK(L31), "", L31*VLOOKUP($F31,Internal!$B$26:$C$32,2,FALSE))</f>
        <v>200</v>
      </c>
      <c r="O31" s="45" t="str">
        <f>IF(ISBLANK(M31), "", M31*VLOOKUP($F31,Internal!$B$26:$C$32,2,FALSE))</f>
        <v/>
      </c>
      <c r="P31" s="44" t="s">
        <v>113</v>
      </c>
    </row>
    <row r="32" spans="2:16" ht="15" thickBot="1" x14ac:dyDescent="0.35">
      <c r="B32" s="41">
        <v>22</v>
      </c>
      <c r="C32" s="42" t="str">
        <f>IF(ISBLANK(D32), "", _xlfn.CONCAT("T", TEXT(B32, "0000"), "/", VLOOKUP(D32, Internal!$B$35:C$39, 2, FALSE), IF(OR(D32="QA", D32="Revision"), _xlfn.CONCAT("/", H32), "")))</f>
        <v>T0022/D</v>
      </c>
      <c r="D32" s="44" t="s">
        <v>43</v>
      </c>
      <c r="E32" s="43" t="s">
        <v>104</v>
      </c>
      <c r="F32" s="43" t="s">
        <v>44</v>
      </c>
      <c r="G32" s="44" t="s">
        <v>49</v>
      </c>
      <c r="H32" s="43"/>
      <c r="I32" s="46"/>
      <c r="J32" s="46"/>
      <c r="K32" s="45" t="str">
        <f t="shared" ca="1" si="3"/>
        <v/>
      </c>
      <c r="L32" s="53">
        <v>8</v>
      </c>
      <c r="M32" s="47"/>
      <c r="N32" s="45">
        <f>IF(ISBLANK(L32), "", L32*VLOOKUP($F32,Internal!$B$26:$C$32,2,FALSE))</f>
        <v>200</v>
      </c>
      <c r="O32" s="45" t="str">
        <f>IF(ISBLANK(M32), "", M32*VLOOKUP($F32,Internal!$B$26:$C$32,2,FALSE))</f>
        <v/>
      </c>
      <c r="P32" s="44" t="s">
        <v>114</v>
      </c>
    </row>
    <row r="33" spans="2:16" ht="15" thickBot="1" x14ac:dyDescent="0.35">
      <c r="B33" s="41">
        <v>23</v>
      </c>
      <c r="C33" s="42" t="str">
        <f>IF(ISBLANK(D33), "", _xlfn.CONCAT("T", TEXT(B33, "0000"), "/", VLOOKUP(D33, Internal!$B$35:C$39, 2, FALSE), IF(OR(D33="QA", D33="Revision"), _xlfn.CONCAT("/", H33), "")))</f>
        <v>T0023/D</v>
      </c>
      <c r="D33" s="44" t="s">
        <v>43</v>
      </c>
      <c r="E33" s="43" t="s">
        <v>105</v>
      </c>
      <c r="F33" s="43" t="s">
        <v>44</v>
      </c>
      <c r="G33" s="44" t="s">
        <v>49</v>
      </c>
      <c r="H33" s="43"/>
      <c r="I33" s="46"/>
      <c r="J33" s="46"/>
      <c r="K33" s="45" t="str">
        <f t="shared" ca="1" si="3"/>
        <v/>
      </c>
      <c r="L33" s="47">
        <v>8</v>
      </c>
      <c r="M33" s="47"/>
      <c r="N33" s="45">
        <f>IF(ISBLANK(L33), "", L33*VLOOKUP($F33,Internal!$B$26:$C$32,2,FALSE))</f>
        <v>200</v>
      </c>
      <c r="O33" s="45" t="str">
        <f>IF(ISBLANK(M33), "", M33*VLOOKUP($F33,Internal!$B$26:$C$32,2,FALSE))</f>
        <v/>
      </c>
      <c r="P33" s="44" t="s">
        <v>115</v>
      </c>
    </row>
    <row r="34" spans="2:16" ht="15" thickBot="1" x14ac:dyDescent="0.35">
      <c r="B34" s="41">
        <v>24</v>
      </c>
      <c r="C34" s="42" t="str">
        <f>IF(ISBLANK(D34), "", _xlfn.CONCAT("T", TEXT(B34, "0000"), "/", VLOOKUP(D34, Internal!$B$35:C$39, 2, FALSE), IF(OR(D34="QA", D34="Revision"), _xlfn.CONCAT("/", H34), "")))</f>
        <v>T0024/D</v>
      </c>
      <c r="D34" s="44" t="s">
        <v>43</v>
      </c>
      <c r="E34" s="43" t="s">
        <v>106</v>
      </c>
      <c r="F34" s="43" t="s">
        <v>44</v>
      </c>
      <c r="G34" s="44" t="s">
        <v>49</v>
      </c>
      <c r="H34" s="43"/>
      <c r="I34" s="46"/>
      <c r="J34" s="46"/>
      <c r="K34" s="45" t="str">
        <f t="shared" ca="1" si="3"/>
        <v/>
      </c>
      <c r="L34" s="47">
        <v>8</v>
      </c>
      <c r="M34" s="47"/>
      <c r="N34" s="45">
        <f>IF(ISBLANK(L34), "", L34*VLOOKUP($F34,Internal!$B$26:$C$32,2,FALSE))</f>
        <v>200</v>
      </c>
      <c r="O34" s="45" t="str">
        <f>IF(ISBLANK(M34), "", M34*VLOOKUP($F34,Internal!$B$26:$C$32,2,FALSE))</f>
        <v/>
      </c>
      <c r="P34" s="44" t="s">
        <v>116</v>
      </c>
    </row>
    <row r="35" spans="2:16" ht="15" thickBot="1" x14ac:dyDescent="0.35">
      <c r="B35" s="41">
        <v>25</v>
      </c>
      <c r="C35" s="42" t="str">
        <f>IF(ISBLANK(D35), "", _xlfn.CONCAT("T", TEXT(B35, "0000"), "/", VLOOKUP(D35, Internal!$B$35:C$39, 2, FALSE), IF(OR(D35="QA", D35="Revision"), _xlfn.CONCAT("/", H35), "")))</f>
        <v>T0025/D</v>
      </c>
      <c r="D35" s="44" t="s">
        <v>43</v>
      </c>
      <c r="E35" s="43" t="s">
        <v>107</v>
      </c>
      <c r="F35" s="43" t="s">
        <v>44</v>
      </c>
      <c r="G35" s="44" t="s">
        <v>49</v>
      </c>
      <c r="H35" s="43"/>
      <c r="I35" s="46"/>
      <c r="J35" s="46"/>
      <c r="K35" s="45" t="str">
        <f t="shared" ca="1" si="3"/>
        <v/>
      </c>
      <c r="L35" s="47">
        <v>8</v>
      </c>
      <c r="M35" s="47"/>
      <c r="N35" s="45">
        <f>IF(ISBLANK(L35), "", L35*VLOOKUP($F35,Internal!$B$26:$C$32,2,FALSE))</f>
        <v>200</v>
      </c>
      <c r="O35" s="45" t="str">
        <f>IF(ISBLANK(M35), "", M35*VLOOKUP($F35,Internal!$B$26:$C$32,2,FALSE))</f>
        <v/>
      </c>
      <c r="P35" s="44" t="s">
        <v>117</v>
      </c>
    </row>
    <row r="36" spans="2:16" ht="15" thickBot="1" x14ac:dyDescent="0.35">
      <c r="B36" s="41">
        <v>26</v>
      </c>
      <c r="C36" s="42" t="str">
        <f>IF(ISBLANK(D36), "", _xlfn.CONCAT("T", TEXT(B36, "0000"), "/", VLOOKUP(D36, Internal!$B$35:C$39, 2, FALSE), IF(OR(D36="QA", D36="Revision"), _xlfn.CONCAT("/", H36), "")))</f>
        <v>T0026/D</v>
      </c>
      <c r="D36" s="44" t="s">
        <v>43</v>
      </c>
      <c r="E36" s="43" t="s">
        <v>103</v>
      </c>
      <c r="F36" s="43" t="s">
        <v>44</v>
      </c>
      <c r="G36" s="44" t="s">
        <v>49</v>
      </c>
      <c r="H36" s="43"/>
      <c r="I36" s="46"/>
      <c r="J36" s="46"/>
      <c r="K36" s="45" t="str">
        <f t="shared" ref="K36:K40" ca="1" si="4">IF(OR(I36="",J36=""),"",IF(AND(J36&lt;&gt;"",I36&gt;=NOW()),"Planned",IF(AND(J36&lt;&gt;"",J36&lt;NOW()),"Completed","Ongoing")))</f>
        <v/>
      </c>
      <c r="L36" s="47">
        <v>8</v>
      </c>
      <c r="M36" s="47"/>
      <c r="N36" s="45">
        <f>IF(ISBLANK(L36), "", L36*VLOOKUP($F36,Internal!$B$26:$C$32,2,FALSE))</f>
        <v>200</v>
      </c>
      <c r="O36" s="45" t="str">
        <f>IF(ISBLANK(M36), "", M36*VLOOKUP($F36,Internal!$B$26:$C$32,2,FALSE))</f>
        <v/>
      </c>
      <c r="P36" s="44" t="s">
        <v>118</v>
      </c>
    </row>
    <row r="37" spans="2:16" ht="15" thickBot="1" x14ac:dyDescent="0.35">
      <c r="B37" s="41">
        <v>27</v>
      </c>
      <c r="C37" s="42" t="str">
        <f>IF(ISBLANK(D37), "", _xlfn.CONCAT("T", TEXT(B37, "0000"), "/", VLOOKUP(D37, Internal!$B$35:C$39, 2, FALSE), IF(OR(D37="QA", D37="Revision"), _xlfn.CONCAT("/", H37), "")))</f>
        <v>T0027/D</v>
      </c>
      <c r="D37" s="44" t="s">
        <v>43</v>
      </c>
      <c r="E37" s="43" t="s">
        <v>104</v>
      </c>
      <c r="F37" s="43" t="s">
        <v>44</v>
      </c>
      <c r="G37" s="44" t="s">
        <v>49</v>
      </c>
      <c r="H37" s="43"/>
      <c r="I37" s="46"/>
      <c r="J37" s="46"/>
      <c r="K37" s="45" t="str">
        <f t="shared" ca="1" si="4"/>
        <v/>
      </c>
      <c r="L37" s="53">
        <v>8</v>
      </c>
      <c r="M37" s="47"/>
      <c r="N37" s="45">
        <f>IF(ISBLANK(L37), "", L37*VLOOKUP($F37,Internal!$B$26:$C$32,2,FALSE))</f>
        <v>200</v>
      </c>
      <c r="O37" s="45" t="str">
        <f>IF(ISBLANK(M37), "", M37*VLOOKUP($F37,Internal!$B$26:$C$32,2,FALSE))</f>
        <v/>
      </c>
      <c r="P37" s="44" t="s">
        <v>119</v>
      </c>
    </row>
    <row r="38" spans="2:16" ht="15" thickBot="1" x14ac:dyDescent="0.35">
      <c r="B38" s="41">
        <v>28</v>
      </c>
      <c r="C38" s="42" t="str">
        <f>IF(ISBLANK(D38), "", _xlfn.CONCAT("T", TEXT(B38, "0000"), "/", VLOOKUP(D38, Internal!$B$35:C$39, 2, FALSE), IF(OR(D38="QA", D38="Revision"), _xlfn.CONCAT("/", H38), "")))</f>
        <v>T0028/D</v>
      </c>
      <c r="D38" s="44" t="s">
        <v>43</v>
      </c>
      <c r="E38" s="43" t="s">
        <v>105</v>
      </c>
      <c r="F38" s="43" t="s">
        <v>44</v>
      </c>
      <c r="G38" s="44" t="s">
        <v>49</v>
      </c>
      <c r="H38" s="43"/>
      <c r="I38" s="46"/>
      <c r="J38" s="46"/>
      <c r="K38" s="45" t="str">
        <f t="shared" ca="1" si="4"/>
        <v/>
      </c>
      <c r="L38" s="47">
        <v>8</v>
      </c>
      <c r="M38" s="47"/>
      <c r="N38" s="45">
        <f>IF(ISBLANK(L38), "", L38*VLOOKUP($F38,Internal!$B$26:$C$32,2,FALSE))</f>
        <v>200</v>
      </c>
      <c r="O38" s="45" t="str">
        <f>IF(ISBLANK(M38), "", M38*VLOOKUP($F38,Internal!$B$26:$C$32,2,FALSE))</f>
        <v/>
      </c>
      <c r="P38" s="44" t="s">
        <v>120</v>
      </c>
    </row>
    <row r="39" spans="2:16" ht="15" thickBot="1" x14ac:dyDescent="0.35">
      <c r="B39" s="41">
        <v>29</v>
      </c>
      <c r="C39" s="42" t="str">
        <f>IF(ISBLANK(D39), "", _xlfn.CONCAT("T", TEXT(B39, "0000"), "/", VLOOKUP(D39, Internal!$B$35:C$39, 2, FALSE), IF(OR(D39="QA", D39="Revision"), _xlfn.CONCAT("/", H39), "")))</f>
        <v>T0029/D</v>
      </c>
      <c r="D39" s="44" t="s">
        <v>43</v>
      </c>
      <c r="E39" s="43" t="s">
        <v>106</v>
      </c>
      <c r="F39" s="43" t="s">
        <v>44</v>
      </c>
      <c r="G39" s="44" t="s">
        <v>49</v>
      </c>
      <c r="H39" s="43"/>
      <c r="I39" s="46"/>
      <c r="J39" s="46"/>
      <c r="K39" s="45" t="str">
        <f t="shared" ca="1" si="4"/>
        <v/>
      </c>
      <c r="L39" s="47">
        <v>8</v>
      </c>
      <c r="M39" s="47"/>
      <c r="N39" s="45">
        <f>IF(ISBLANK(L39), "", L39*VLOOKUP($F39,Internal!$B$26:$C$32,2,FALSE))</f>
        <v>200</v>
      </c>
      <c r="O39" s="45" t="str">
        <f>IF(ISBLANK(M39), "", M39*VLOOKUP($F39,Internal!$B$26:$C$32,2,FALSE))</f>
        <v/>
      </c>
      <c r="P39" s="44" t="s">
        <v>121</v>
      </c>
    </row>
    <row r="40" spans="2:16" ht="15" thickBot="1" x14ac:dyDescent="0.35">
      <c r="B40" s="41">
        <v>30</v>
      </c>
      <c r="C40" s="42" t="str">
        <f>IF(ISBLANK(D40), "", _xlfn.CONCAT("T", TEXT(B40, "0000"), "/", VLOOKUP(D40, Internal!$B$35:C$39, 2, FALSE), IF(OR(D40="QA", D40="Revision"), _xlfn.CONCAT("/", H40), "")))</f>
        <v>T0030/D</v>
      </c>
      <c r="D40" s="44" t="s">
        <v>43</v>
      </c>
      <c r="E40" s="43" t="s">
        <v>107</v>
      </c>
      <c r="F40" s="43" t="s">
        <v>44</v>
      </c>
      <c r="G40" s="44" t="s">
        <v>49</v>
      </c>
      <c r="H40" s="43"/>
      <c r="I40" s="46"/>
      <c r="J40" s="46"/>
      <c r="K40" s="45" t="str">
        <f t="shared" ca="1" si="4"/>
        <v/>
      </c>
      <c r="L40" s="47">
        <v>8</v>
      </c>
      <c r="M40" s="47"/>
      <c r="N40" s="45">
        <f>IF(ISBLANK(L40), "", L40*VLOOKUP($F40,Internal!$B$26:$C$32,2,FALSE))</f>
        <v>200</v>
      </c>
      <c r="O40" s="45" t="str">
        <f>IF(ISBLANK(M40), "", M40*VLOOKUP($F40,Internal!$B$26:$C$32,2,FALSE))</f>
        <v/>
      </c>
      <c r="P40" s="44" t="s">
        <v>122</v>
      </c>
    </row>
    <row r="41" spans="2:16" ht="15" thickBot="1" x14ac:dyDescent="0.35">
      <c r="B41" s="41">
        <v>31</v>
      </c>
      <c r="C41" s="42" t="str">
        <f>IF(ISBLANK(D41), "", _xlfn.CONCAT("T", TEXT(B41, "0000"), "/", VLOOKUP(D41, Internal!$B$35:C$39, 2, FALSE), IF(OR(D41="QA", D41="Revision"), _xlfn.CONCAT("/", H41), "")))</f>
        <v>T0031/D</v>
      </c>
      <c r="D41" s="44" t="s">
        <v>43</v>
      </c>
      <c r="E41" s="43" t="s">
        <v>103</v>
      </c>
      <c r="F41" s="43" t="s">
        <v>44</v>
      </c>
      <c r="G41" s="44" t="s">
        <v>49</v>
      </c>
      <c r="H41" s="43"/>
      <c r="I41" s="46"/>
      <c r="J41" s="46"/>
      <c r="K41" s="45" t="str">
        <f t="shared" ref="K41:K45" ca="1" si="5">IF(OR(I41="",J41=""),"",IF(AND(J41&lt;&gt;"",I41&gt;=NOW()),"Planned",IF(AND(J41&lt;&gt;"",J41&lt;NOW()),"Completed","Ongoing")))</f>
        <v/>
      </c>
      <c r="L41" s="47">
        <v>2</v>
      </c>
      <c r="M41" s="47"/>
      <c r="N41" s="45">
        <f>IF(ISBLANK(L41), "", L41*VLOOKUP($F41,Internal!$B$26:$C$32,2,FALSE))</f>
        <v>50</v>
      </c>
      <c r="O41" s="45" t="str">
        <f>IF(ISBLANK(M41), "", M41*VLOOKUP($F41,Internal!$B$26:$C$32,2,FALSE))</f>
        <v/>
      </c>
      <c r="P41" s="44" t="s">
        <v>123</v>
      </c>
    </row>
    <row r="42" spans="2:16" ht="15" thickBot="1" x14ac:dyDescent="0.35">
      <c r="B42" s="41">
        <v>32</v>
      </c>
      <c r="C42" s="42" t="str">
        <f>IF(ISBLANK(D42), "", _xlfn.CONCAT("T", TEXT(B42, "0000"), "/", VLOOKUP(D42, Internal!$B$35:C$39, 2, FALSE), IF(OR(D42="QA", D42="Revision"), _xlfn.CONCAT("/", H42), "")))</f>
        <v>T0032/D</v>
      </c>
      <c r="D42" s="44" t="s">
        <v>43</v>
      </c>
      <c r="E42" s="43" t="s">
        <v>104</v>
      </c>
      <c r="F42" s="43" t="s">
        <v>44</v>
      </c>
      <c r="G42" s="44" t="s">
        <v>49</v>
      </c>
      <c r="H42" s="43"/>
      <c r="I42" s="46"/>
      <c r="J42" s="46"/>
      <c r="K42" s="45" t="str">
        <f t="shared" ca="1" si="5"/>
        <v/>
      </c>
      <c r="L42" s="53">
        <v>2</v>
      </c>
      <c r="M42" s="47"/>
      <c r="N42" s="45">
        <f>IF(ISBLANK(L42), "", L42*VLOOKUP($F42,Internal!$B$26:$C$32,2,FALSE))</f>
        <v>50</v>
      </c>
      <c r="O42" s="45" t="str">
        <f>IF(ISBLANK(M42), "", M42*VLOOKUP($F42,Internal!$B$26:$C$32,2,FALSE))</f>
        <v/>
      </c>
      <c r="P42" s="44" t="s">
        <v>124</v>
      </c>
    </row>
    <row r="43" spans="2:16" ht="15" thickBot="1" x14ac:dyDescent="0.35">
      <c r="B43" s="41">
        <v>33</v>
      </c>
      <c r="C43" s="42" t="str">
        <f>IF(ISBLANK(D43), "", _xlfn.CONCAT("T", TEXT(B43, "0000"), "/", VLOOKUP(D43, Internal!$B$35:C$39, 2, FALSE), IF(OR(D43="QA", D43="Revision"), _xlfn.CONCAT("/", H43), "")))</f>
        <v>T0033/D</v>
      </c>
      <c r="D43" s="44" t="s">
        <v>43</v>
      </c>
      <c r="E43" s="43" t="s">
        <v>105</v>
      </c>
      <c r="F43" s="43" t="s">
        <v>44</v>
      </c>
      <c r="G43" s="44" t="s">
        <v>49</v>
      </c>
      <c r="H43" s="43"/>
      <c r="I43" s="46"/>
      <c r="J43" s="46"/>
      <c r="K43" s="45" t="str">
        <f t="shared" ca="1" si="5"/>
        <v/>
      </c>
      <c r="L43" s="47">
        <v>2</v>
      </c>
      <c r="M43" s="47"/>
      <c r="N43" s="45">
        <f>IF(ISBLANK(L43), "", L43*VLOOKUP($F43,Internal!$B$26:$C$32,2,FALSE))</f>
        <v>50</v>
      </c>
      <c r="O43" s="45" t="str">
        <f>IF(ISBLANK(M43), "", M43*VLOOKUP($F43,Internal!$B$26:$C$32,2,FALSE))</f>
        <v/>
      </c>
      <c r="P43" s="44" t="s">
        <v>125</v>
      </c>
    </row>
    <row r="44" spans="2:16" ht="15" thickBot="1" x14ac:dyDescent="0.35">
      <c r="B44" s="41">
        <v>34</v>
      </c>
      <c r="C44" s="42" t="str">
        <f>IF(ISBLANK(D44), "", _xlfn.CONCAT("T", TEXT(B44, "0000"), "/", VLOOKUP(D44, Internal!$B$35:C$39, 2, FALSE), IF(OR(D44="QA", D44="Revision"), _xlfn.CONCAT("/", H44), "")))</f>
        <v>T0034/D</v>
      </c>
      <c r="D44" s="44" t="s">
        <v>43</v>
      </c>
      <c r="E44" s="43" t="s">
        <v>106</v>
      </c>
      <c r="F44" s="43" t="s">
        <v>44</v>
      </c>
      <c r="G44" s="44" t="s">
        <v>49</v>
      </c>
      <c r="H44" s="43"/>
      <c r="I44" s="46"/>
      <c r="J44" s="46"/>
      <c r="K44" s="45" t="str">
        <f t="shared" ca="1" si="5"/>
        <v/>
      </c>
      <c r="L44" s="47">
        <v>2</v>
      </c>
      <c r="M44" s="47"/>
      <c r="N44" s="45">
        <f>IF(ISBLANK(L44), "", L44*VLOOKUP($F44,Internal!$B$26:$C$32,2,FALSE))</f>
        <v>50</v>
      </c>
      <c r="O44" s="45" t="str">
        <f>IF(ISBLANK(M44), "", M44*VLOOKUP($F44,Internal!$B$26:$C$32,2,FALSE))</f>
        <v/>
      </c>
      <c r="P44" s="44" t="s">
        <v>126</v>
      </c>
    </row>
    <row r="45" spans="2:16" ht="15" thickBot="1" x14ac:dyDescent="0.35">
      <c r="B45" s="41">
        <v>35</v>
      </c>
      <c r="C45" s="42" t="str">
        <f>IF(ISBLANK(D45), "", _xlfn.CONCAT("T", TEXT(B45, "0000"), "/", VLOOKUP(D45, Internal!$B$35:C$39, 2, FALSE), IF(OR(D45="QA", D45="Revision"), _xlfn.CONCAT("/", H45), "")))</f>
        <v>T0035/D</v>
      </c>
      <c r="D45" s="44" t="s">
        <v>43</v>
      </c>
      <c r="E45" s="43" t="s">
        <v>107</v>
      </c>
      <c r="F45" s="43" t="s">
        <v>44</v>
      </c>
      <c r="G45" s="44" t="s">
        <v>49</v>
      </c>
      <c r="H45" s="43"/>
      <c r="I45" s="46"/>
      <c r="J45" s="46"/>
      <c r="K45" s="45" t="str">
        <f t="shared" ca="1" si="5"/>
        <v/>
      </c>
      <c r="L45" s="47">
        <v>2</v>
      </c>
      <c r="M45" s="47"/>
      <c r="N45" s="45">
        <f>IF(ISBLANK(L45), "", L45*VLOOKUP($F45,Internal!$B$26:$C$32,2,FALSE))</f>
        <v>50</v>
      </c>
      <c r="O45" s="45" t="str">
        <f>IF(ISBLANK(M45), "", M45*VLOOKUP($F45,Internal!$B$26:$C$32,2,FALSE))</f>
        <v/>
      </c>
      <c r="P45" s="44" t="s">
        <v>127</v>
      </c>
    </row>
    <row r="46" spans="2:16" ht="15" thickBot="1" x14ac:dyDescent="0.35">
      <c r="B46" s="41">
        <v>36</v>
      </c>
      <c r="C46" s="42" t="str">
        <f>IF(ISBLANK(D46), "", _xlfn.CONCAT("T", TEXT(B46, "0000"), "/", VLOOKUP(D46, Internal!$B$35:C$39, 2, FALSE), IF(OR(D46="QA", D46="Revision"), _xlfn.CONCAT("/", H46), "")))</f>
        <v>T0036/D</v>
      </c>
      <c r="D46" s="44" t="s">
        <v>43</v>
      </c>
      <c r="E46" s="43" t="s">
        <v>103</v>
      </c>
      <c r="F46" s="43" t="s">
        <v>44</v>
      </c>
      <c r="G46" s="44" t="s">
        <v>49</v>
      </c>
      <c r="H46" s="43"/>
      <c r="I46" s="46"/>
      <c r="J46" s="46"/>
      <c r="K46" s="45" t="str">
        <f t="shared" ref="K46:K50" ca="1" si="6">IF(OR(I46="",J46=""),"",IF(AND(J46&lt;&gt;"",I46&gt;=NOW()),"Planned",IF(AND(J46&lt;&gt;"",J46&lt;NOW()),"Completed","Ongoing")))</f>
        <v/>
      </c>
      <c r="L46" s="47">
        <v>1</v>
      </c>
      <c r="M46" s="47"/>
      <c r="N46" s="45">
        <f>IF(ISBLANK(L46), "", L46*VLOOKUP($F46,Internal!$B$26:$C$32,2,FALSE))</f>
        <v>25</v>
      </c>
      <c r="O46" s="45" t="str">
        <f>IF(ISBLANK(M46), "", M46*VLOOKUP($F46,Internal!$B$26:$C$32,2,FALSE))</f>
        <v/>
      </c>
      <c r="P46" s="44" t="s">
        <v>128</v>
      </c>
    </row>
    <row r="47" spans="2:16" ht="15" thickBot="1" x14ac:dyDescent="0.35">
      <c r="B47" s="41">
        <v>37</v>
      </c>
      <c r="C47" s="42" t="str">
        <f>IF(ISBLANK(D47), "", _xlfn.CONCAT("T", TEXT(B47, "0000"), "/", VLOOKUP(D47, Internal!$B$35:C$39, 2, FALSE), IF(OR(D47="QA", D47="Revision"), _xlfn.CONCAT("/", H47), "")))</f>
        <v>T0037/D</v>
      </c>
      <c r="D47" s="44" t="s">
        <v>43</v>
      </c>
      <c r="E47" s="43" t="s">
        <v>104</v>
      </c>
      <c r="F47" s="43" t="s">
        <v>44</v>
      </c>
      <c r="G47" s="44" t="s">
        <v>49</v>
      </c>
      <c r="H47" s="43"/>
      <c r="I47" s="46"/>
      <c r="J47" s="46"/>
      <c r="K47" s="45" t="str">
        <f t="shared" ca="1" si="6"/>
        <v/>
      </c>
      <c r="L47" s="53">
        <v>1</v>
      </c>
      <c r="M47" s="47"/>
      <c r="N47" s="45">
        <f>IF(ISBLANK(L47), "", L47*VLOOKUP($F47,Internal!$B$26:$C$32,2,FALSE))</f>
        <v>25</v>
      </c>
      <c r="O47" s="45" t="str">
        <f>IF(ISBLANK(M47), "", M47*VLOOKUP($F47,Internal!$B$26:$C$32,2,FALSE))</f>
        <v/>
      </c>
      <c r="P47" s="44" t="s">
        <v>129</v>
      </c>
    </row>
    <row r="48" spans="2:16" ht="15" thickBot="1" x14ac:dyDescent="0.35">
      <c r="B48" s="41">
        <v>38</v>
      </c>
      <c r="C48" s="42" t="str">
        <f>IF(ISBLANK(D48), "", _xlfn.CONCAT("T", TEXT(B48, "0000"), "/", VLOOKUP(D48, Internal!$B$35:C$39, 2, FALSE), IF(OR(D48="QA", D48="Revision"), _xlfn.CONCAT("/", H48), "")))</f>
        <v>T0038/D</v>
      </c>
      <c r="D48" s="44" t="s">
        <v>43</v>
      </c>
      <c r="E48" s="43" t="s">
        <v>105</v>
      </c>
      <c r="F48" s="43" t="s">
        <v>44</v>
      </c>
      <c r="G48" s="44" t="s">
        <v>49</v>
      </c>
      <c r="H48" s="43"/>
      <c r="I48" s="46"/>
      <c r="J48" s="46"/>
      <c r="K48" s="45" t="str">
        <f t="shared" ca="1" si="6"/>
        <v/>
      </c>
      <c r="L48" s="47">
        <v>1</v>
      </c>
      <c r="M48" s="47"/>
      <c r="N48" s="45">
        <f>IF(ISBLANK(L48), "", L48*VLOOKUP($F48,Internal!$B$26:$C$32,2,FALSE))</f>
        <v>25</v>
      </c>
      <c r="O48" s="45" t="str">
        <f>IF(ISBLANK(M48), "", M48*VLOOKUP($F48,Internal!$B$26:$C$32,2,FALSE))</f>
        <v/>
      </c>
      <c r="P48" s="44" t="s">
        <v>130</v>
      </c>
    </row>
    <row r="49" spans="2:16" ht="15" thickBot="1" x14ac:dyDescent="0.35">
      <c r="B49" s="41">
        <v>39</v>
      </c>
      <c r="C49" s="42" t="str">
        <f>IF(ISBLANK(D49), "", _xlfn.CONCAT("T", TEXT(B49, "0000"), "/", VLOOKUP(D49, Internal!$B$35:C$39, 2, FALSE), IF(OR(D49="QA", D49="Revision"), _xlfn.CONCAT("/", H49), "")))</f>
        <v>T0039/D</v>
      </c>
      <c r="D49" s="44" t="s">
        <v>43</v>
      </c>
      <c r="E49" s="43" t="s">
        <v>106</v>
      </c>
      <c r="F49" s="43" t="s">
        <v>44</v>
      </c>
      <c r="G49" s="44" t="s">
        <v>49</v>
      </c>
      <c r="H49" s="43"/>
      <c r="I49" s="46"/>
      <c r="J49" s="46"/>
      <c r="K49" s="45" t="str">
        <f t="shared" ca="1" si="6"/>
        <v/>
      </c>
      <c r="L49" s="47">
        <v>1</v>
      </c>
      <c r="M49" s="47"/>
      <c r="N49" s="45">
        <f>IF(ISBLANK(L49), "", L49*VLOOKUP($F49,Internal!$B$26:$C$32,2,FALSE))</f>
        <v>25</v>
      </c>
      <c r="O49" s="45" t="str">
        <f>IF(ISBLANK(M49), "", M49*VLOOKUP($F49,Internal!$B$26:$C$32,2,FALSE))</f>
        <v/>
      </c>
      <c r="P49" s="44" t="s">
        <v>131</v>
      </c>
    </row>
    <row r="50" spans="2:16" ht="15" thickBot="1" x14ac:dyDescent="0.35">
      <c r="B50" s="41">
        <v>40</v>
      </c>
      <c r="C50" s="42" t="str">
        <f>IF(ISBLANK(D50), "", _xlfn.CONCAT("T", TEXT(B50, "0000"), "/", VLOOKUP(D50, Internal!$B$35:C$39, 2, FALSE), IF(OR(D50="QA", D50="Revision"), _xlfn.CONCAT("/", H50), "")))</f>
        <v>T0040/D</v>
      </c>
      <c r="D50" s="44" t="s">
        <v>43</v>
      </c>
      <c r="E50" s="43" t="s">
        <v>107</v>
      </c>
      <c r="F50" s="43" t="s">
        <v>44</v>
      </c>
      <c r="G50" s="44" t="s">
        <v>49</v>
      </c>
      <c r="H50" s="43"/>
      <c r="I50" s="46"/>
      <c r="J50" s="46"/>
      <c r="K50" s="45" t="str">
        <f t="shared" ca="1" si="6"/>
        <v/>
      </c>
      <c r="L50" s="47">
        <v>1</v>
      </c>
      <c r="M50" s="47"/>
      <c r="N50" s="45">
        <f>IF(ISBLANK(L50), "", L50*VLOOKUP($F50,Internal!$B$26:$C$32,2,FALSE))</f>
        <v>25</v>
      </c>
      <c r="O50" s="45" t="str">
        <f>IF(ISBLANK(M50), "", M50*VLOOKUP($F50,Internal!$B$26:$C$32,2,FALSE))</f>
        <v/>
      </c>
      <c r="P50" s="44" t="s">
        <v>132</v>
      </c>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7">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7"/>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7"/>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7"/>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7"/>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7"/>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7"/>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7"/>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7"/>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7"/>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7"/>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7"/>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7"/>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7"/>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7"/>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7"/>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7"/>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7"/>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7"/>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7"/>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7"/>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7"/>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7"/>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7"/>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7"/>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7"/>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7"/>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7"/>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7"/>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7"/>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7"/>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7"/>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7"/>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7"/>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7"/>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 J14 J16 J18 J20:J110">
    <cfRule type="expression" dxfId="4" priority="1">
      <formula>AND(I11&lt;&gt;"",J11&lt;&gt;"", I11&gt;J11)</formula>
    </cfRule>
  </conditionalFormatting>
  <dataValidations count="9">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K11:K110 P11:P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 type="decimal" allowBlank="1" showInputMessage="1" showErrorMessage="1" promptTitle="Expected workload" prompt="Enter the expected workload in hours or fractions." sqref="L11:L26 L28:L31 L33:L36 L38:L41 L43:L46 L48:L110" xr:uid="{AADDA758-A288-4920-A868-A656B94EE475}">
      <formula1>0</formula1>
      <formula2>1024</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J19 J12:J13 J15 J17 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 J14 J16 J18 J20:J110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6" t="s">
        <v>62</v>
      </c>
      <c r="D2" s="56"/>
      <c r="E2" s="56"/>
      <c r="F2" s="56"/>
      <c r="G2" s="56"/>
      <c r="H2" s="56"/>
      <c r="I2" s="56"/>
      <c r="J2" s="56"/>
      <c r="K2" s="56"/>
      <c r="L2" s="56"/>
      <c r="M2" s="56"/>
      <c r="N2" s="56"/>
      <c r="O2" s="56"/>
      <c r="P2" s="56"/>
    </row>
    <row r="4" spans="2:16" ht="15" customHeight="1" x14ac:dyDescent="0.3">
      <c r="C4" s="54" t="s">
        <v>10</v>
      </c>
      <c r="D4" s="54"/>
      <c r="E4" s="54"/>
      <c r="F4" s="54"/>
      <c r="G4" s="54"/>
      <c r="H4" s="54"/>
      <c r="I4" s="54"/>
      <c r="J4" s="54"/>
      <c r="K4" s="54"/>
      <c r="L4" s="54"/>
      <c r="M4" s="54"/>
      <c r="N4" s="54"/>
      <c r="O4" s="54"/>
      <c r="P4" s="54"/>
    </row>
    <row r="5" spans="2:16" x14ac:dyDescent="0.3">
      <c r="C5" s="5"/>
      <c r="D5" s="5"/>
      <c r="E5" s="5"/>
      <c r="F5" s="5"/>
      <c r="G5" s="5"/>
      <c r="H5" s="5"/>
      <c r="I5" s="5"/>
      <c r="J5" s="5"/>
      <c r="K5" s="5"/>
      <c r="L5" s="5"/>
      <c r="M5" s="5"/>
      <c r="N5" s="5"/>
      <c r="O5" s="5"/>
      <c r="P5" s="5"/>
    </row>
    <row r="6" spans="2:16" x14ac:dyDescent="0.3">
      <c r="C6" s="58" t="s">
        <v>11</v>
      </c>
      <c r="D6" s="10" t="s">
        <v>12</v>
      </c>
      <c r="E6" s="35">
        <f>SUM(N11:N110)</f>
        <v>0</v>
      </c>
      <c r="F6" s="5"/>
      <c r="G6" s="5"/>
      <c r="H6" s="5"/>
      <c r="I6" s="5"/>
      <c r="J6" s="5"/>
      <c r="K6" s="5"/>
      <c r="L6" s="5"/>
      <c r="M6" s="5"/>
      <c r="N6" s="5"/>
      <c r="O6" s="5"/>
      <c r="P6" s="5"/>
    </row>
    <row r="7" spans="2:16" x14ac:dyDescent="0.3">
      <c r="C7" s="58"/>
      <c r="D7" s="11" t="s">
        <v>13</v>
      </c>
      <c r="E7" s="36">
        <f>SUM(O11:O110)</f>
        <v>0</v>
      </c>
      <c r="J7" s="37"/>
    </row>
    <row r="9" spans="2:16" x14ac:dyDescent="0.3">
      <c r="B9" s="6"/>
      <c r="C9" s="7"/>
      <c r="D9" s="7"/>
      <c r="E9" s="7"/>
      <c r="F9" s="7"/>
      <c r="G9" s="7"/>
      <c r="H9" s="7"/>
      <c r="I9" s="59" t="s">
        <v>14</v>
      </c>
      <c r="J9" s="59"/>
      <c r="K9" s="7"/>
      <c r="L9" s="59" t="s">
        <v>15</v>
      </c>
      <c r="M9" s="59"/>
      <c r="N9" s="59" t="s">
        <v>16</v>
      </c>
      <c r="O9" s="59"/>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6" t="s">
        <v>63</v>
      </c>
      <c r="D2" s="56"/>
      <c r="E2" s="56"/>
      <c r="F2" s="56"/>
      <c r="G2" s="56"/>
      <c r="H2" s="56"/>
      <c r="I2" s="56"/>
      <c r="J2" s="56"/>
      <c r="K2" s="56"/>
      <c r="L2" s="56"/>
      <c r="M2" s="56"/>
      <c r="N2" s="56"/>
      <c r="O2" s="56"/>
      <c r="P2" s="56"/>
    </row>
    <row r="4" spans="2:16" ht="15" customHeight="1" x14ac:dyDescent="0.3">
      <c r="C4" s="54" t="s">
        <v>10</v>
      </c>
      <c r="D4" s="54"/>
      <c r="E4" s="54"/>
      <c r="F4" s="54"/>
      <c r="G4" s="54"/>
      <c r="H4" s="54"/>
      <c r="I4" s="54"/>
      <c r="J4" s="54"/>
      <c r="K4" s="54"/>
      <c r="L4" s="54"/>
      <c r="M4" s="54"/>
      <c r="N4" s="54"/>
      <c r="O4" s="54"/>
      <c r="P4" s="54"/>
    </row>
    <row r="5" spans="2:16" x14ac:dyDescent="0.3">
      <c r="C5" s="5"/>
      <c r="D5" s="5"/>
      <c r="E5" s="5"/>
      <c r="F5" s="5"/>
      <c r="G5" s="5"/>
      <c r="H5" s="5"/>
      <c r="I5" s="5"/>
      <c r="J5" s="5"/>
      <c r="K5" s="5"/>
      <c r="L5" s="5"/>
      <c r="M5" s="5"/>
      <c r="N5" s="5"/>
      <c r="O5" s="5"/>
      <c r="P5" s="5"/>
    </row>
    <row r="6" spans="2:16" x14ac:dyDescent="0.3">
      <c r="C6" s="58" t="s">
        <v>11</v>
      </c>
      <c r="D6" s="10" t="s">
        <v>12</v>
      </c>
      <c r="E6" s="35">
        <f>SUM(N11:N110)</f>
        <v>0</v>
      </c>
      <c r="F6" s="5"/>
      <c r="G6" s="5"/>
      <c r="H6" s="5"/>
      <c r="I6" s="5"/>
      <c r="J6" s="5"/>
      <c r="K6" s="5"/>
      <c r="L6" s="5"/>
      <c r="M6" s="5"/>
      <c r="N6" s="5"/>
      <c r="O6" s="5"/>
      <c r="P6" s="5"/>
    </row>
    <row r="7" spans="2:16" x14ac:dyDescent="0.3">
      <c r="C7" s="58"/>
      <c r="D7" s="11" t="s">
        <v>13</v>
      </c>
      <c r="E7" s="36">
        <f>SUM(O11:O110)</f>
        <v>0</v>
      </c>
      <c r="J7" s="37"/>
    </row>
    <row r="9" spans="2:16" x14ac:dyDescent="0.3">
      <c r="B9" s="6"/>
      <c r="C9" s="7"/>
      <c r="D9" s="7"/>
      <c r="E9" s="7"/>
      <c r="F9" s="7"/>
      <c r="G9" s="7"/>
      <c r="H9" s="7"/>
      <c r="I9" s="59" t="s">
        <v>14</v>
      </c>
      <c r="J9" s="59"/>
      <c r="K9" s="7"/>
      <c r="L9" s="59" t="s">
        <v>15</v>
      </c>
      <c r="M9" s="59"/>
      <c r="N9" s="59" t="s">
        <v>16</v>
      </c>
      <c r="O9" s="59"/>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topLeftCell="A7" workbookViewId="0">
      <selection activeCell="B14" sqref="B14"/>
    </sheetView>
  </sheetViews>
  <sheetFormatPr baseColWidth="10" defaultColWidth="8.88671875" defaultRowHeight="14.4" x14ac:dyDescent="0.3"/>
  <cols>
    <col min="2" max="10" width="22" customWidth="1"/>
  </cols>
  <sheetData>
    <row r="2" spans="2:10" x14ac:dyDescent="0.3">
      <c r="B2" s="56" t="s">
        <v>64</v>
      </c>
      <c r="C2" s="56"/>
      <c r="D2" s="56"/>
      <c r="E2" s="56"/>
      <c r="F2" s="56"/>
      <c r="G2" s="56"/>
      <c r="H2" s="56"/>
      <c r="I2" s="56"/>
      <c r="J2" s="56"/>
    </row>
    <row r="4" spans="2:10" x14ac:dyDescent="0.3">
      <c r="B4" s="54" t="s">
        <v>65</v>
      </c>
      <c r="C4" s="54"/>
      <c r="D4" s="54"/>
      <c r="E4" s="54"/>
      <c r="F4" s="54"/>
      <c r="G4" s="54"/>
      <c r="H4" s="54"/>
      <c r="I4" s="54"/>
      <c r="J4" s="54"/>
    </row>
    <row r="5" spans="2:10" x14ac:dyDescent="0.3">
      <c r="B5" s="54"/>
      <c r="C5" s="54"/>
      <c r="D5" s="54"/>
      <c r="E5" s="54"/>
      <c r="F5" s="54"/>
      <c r="G5" s="54"/>
      <c r="H5" s="54"/>
      <c r="I5" s="54"/>
      <c r="J5" s="54"/>
    </row>
    <row r="6" spans="2:10" x14ac:dyDescent="0.3">
      <c r="B6" s="54"/>
      <c r="C6" s="54"/>
      <c r="D6" s="54"/>
      <c r="E6" s="54"/>
      <c r="F6" s="54"/>
      <c r="G6" s="54"/>
      <c r="H6" s="54"/>
      <c r="I6" s="54"/>
      <c r="J6" s="54"/>
    </row>
    <row r="7" spans="2:10" x14ac:dyDescent="0.3">
      <c r="B7" s="5"/>
      <c r="C7" s="5"/>
      <c r="D7" s="5"/>
      <c r="E7" s="5"/>
      <c r="F7" s="5"/>
      <c r="G7" s="5"/>
      <c r="H7" s="5"/>
      <c r="I7" s="5"/>
      <c r="J7" s="5"/>
    </row>
    <row r="8" spans="2:10" x14ac:dyDescent="0.3">
      <c r="B8" s="25" t="s">
        <v>66</v>
      </c>
      <c r="C8" s="12"/>
      <c r="D8" s="12"/>
      <c r="E8" s="12"/>
      <c r="F8" s="12"/>
      <c r="G8" s="12"/>
      <c r="H8" s="12"/>
      <c r="I8" s="12"/>
      <c r="J8" s="12"/>
    </row>
    <row r="9" spans="2:10" x14ac:dyDescent="0.3">
      <c r="B9" s="13" t="s">
        <v>103</v>
      </c>
      <c r="C9" s="12"/>
      <c r="D9" s="12"/>
      <c r="E9" s="12"/>
      <c r="F9" s="12"/>
      <c r="G9" s="12"/>
      <c r="H9" s="12"/>
      <c r="I9" s="12"/>
      <c r="J9" s="12"/>
    </row>
    <row r="10" spans="2:10" x14ac:dyDescent="0.3">
      <c r="B10" s="13" t="s">
        <v>104</v>
      </c>
      <c r="C10" s="12"/>
      <c r="D10" s="12"/>
      <c r="E10" s="12"/>
      <c r="F10" s="12"/>
      <c r="G10" s="12"/>
      <c r="H10" s="12"/>
      <c r="I10" s="12"/>
      <c r="J10" s="12"/>
    </row>
    <row r="11" spans="2:10" x14ac:dyDescent="0.3">
      <c r="B11" s="13" t="s">
        <v>105</v>
      </c>
      <c r="C11" s="12"/>
      <c r="D11" s="12"/>
      <c r="E11" s="12"/>
      <c r="F11" s="12"/>
      <c r="G11" s="12"/>
      <c r="H11" s="12"/>
      <c r="I11" s="12"/>
      <c r="J11" s="12"/>
    </row>
    <row r="12" spans="2:10" x14ac:dyDescent="0.3">
      <c r="B12" s="13" t="s">
        <v>106</v>
      </c>
      <c r="C12" s="12"/>
      <c r="D12" s="12"/>
      <c r="E12" s="12"/>
      <c r="F12" s="12"/>
      <c r="G12" s="12"/>
      <c r="H12" s="12"/>
      <c r="I12" s="12"/>
      <c r="J12" s="12"/>
    </row>
    <row r="13" spans="2:10" x14ac:dyDescent="0.3">
      <c r="B13" s="13" t="s">
        <v>107</v>
      </c>
      <c r="C13" s="12"/>
      <c r="D13" s="12"/>
      <c r="E13" s="12"/>
      <c r="F13" s="12"/>
      <c r="G13" s="12"/>
      <c r="H13" s="12"/>
      <c r="I13" s="12"/>
      <c r="J13" s="12"/>
    </row>
    <row r="14" spans="2:10" x14ac:dyDescent="0.3">
      <c r="B14" s="14" t="s">
        <v>39</v>
      </c>
      <c r="C14" s="12"/>
      <c r="D14" s="12"/>
      <c r="E14" s="12"/>
      <c r="F14" s="12"/>
      <c r="G14" s="12"/>
      <c r="H14" s="12"/>
      <c r="I14" s="12"/>
      <c r="J14" s="12"/>
    </row>
    <row r="15" spans="2:10" x14ac:dyDescent="0.3">
      <c r="B15" s="3"/>
      <c r="C15" s="12"/>
      <c r="D15" s="12"/>
      <c r="E15" s="12"/>
      <c r="F15" s="12"/>
      <c r="G15" s="12"/>
      <c r="H15" s="12"/>
      <c r="I15" s="12"/>
      <c r="J15" s="12"/>
    </row>
    <row r="16" spans="2:10" x14ac:dyDescent="0.3">
      <c r="B16" s="26" t="s">
        <v>67</v>
      </c>
      <c r="C16" s="12"/>
      <c r="D16" s="12"/>
      <c r="E16" s="12"/>
      <c r="F16" s="12"/>
      <c r="G16" s="12"/>
      <c r="H16" s="12"/>
      <c r="I16" s="12"/>
      <c r="J16" s="12"/>
    </row>
    <row r="17" spans="2:10" x14ac:dyDescent="0.3">
      <c r="B17" s="15" t="s">
        <v>68</v>
      </c>
      <c r="C17" s="12"/>
      <c r="D17" s="12"/>
      <c r="E17" s="12"/>
      <c r="F17" s="12"/>
      <c r="G17" s="12"/>
      <c r="H17" s="12"/>
      <c r="I17" s="12"/>
      <c r="J17" s="12"/>
    </row>
    <row r="18" spans="2:10" x14ac:dyDescent="0.3">
      <c r="B18" s="15" t="s">
        <v>69</v>
      </c>
      <c r="C18" s="12"/>
      <c r="D18" s="12"/>
      <c r="E18" s="12"/>
      <c r="F18" s="12"/>
      <c r="G18" s="12"/>
      <c r="H18" s="12"/>
      <c r="I18" s="12"/>
      <c r="J18" s="12"/>
    </row>
    <row r="19" spans="2:10" x14ac:dyDescent="0.3">
      <c r="B19" s="16" t="s">
        <v>70</v>
      </c>
      <c r="C19" s="12"/>
      <c r="D19" s="12"/>
      <c r="E19" s="12"/>
      <c r="F19" s="12"/>
      <c r="G19" s="12"/>
      <c r="H19" s="12"/>
      <c r="I19" s="12"/>
      <c r="J19" s="12"/>
    </row>
    <row r="20" spans="2:10" x14ac:dyDescent="0.3">
      <c r="B20" s="3"/>
      <c r="C20" s="12"/>
      <c r="D20" s="12"/>
      <c r="E20" s="12"/>
      <c r="F20" s="12"/>
      <c r="G20" s="12"/>
      <c r="H20" s="12"/>
      <c r="I20" s="12"/>
      <c r="J20" s="12"/>
    </row>
    <row r="21" spans="2:10" x14ac:dyDescent="0.3">
      <c r="B21" s="26" t="s">
        <v>71</v>
      </c>
      <c r="C21" s="12"/>
      <c r="D21" s="12"/>
      <c r="E21" s="12"/>
      <c r="F21" s="12"/>
      <c r="G21" s="12"/>
      <c r="H21" s="12"/>
      <c r="I21" s="12"/>
      <c r="J21" s="12"/>
    </row>
    <row r="22" spans="2:10" x14ac:dyDescent="0.3">
      <c r="B22" s="17">
        <v>45658</v>
      </c>
      <c r="C22" s="12"/>
      <c r="D22" s="12"/>
      <c r="E22" s="12"/>
      <c r="F22" s="12"/>
      <c r="G22" s="12"/>
      <c r="H22" s="12"/>
      <c r="I22" s="12"/>
      <c r="J22" s="12"/>
    </row>
    <row r="23" spans="2:10" x14ac:dyDescent="0.3">
      <c r="B23" s="18" t="s">
        <v>72</v>
      </c>
      <c r="C23" s="12"/>
      <c r="D23" s="12"/>
      <c r="E23" s="12"/>
      <c r="F23" s="12"/>
      <c r="G23" s="12"/>
      <c r="H23" s="12"/>
      <c r="I23" s="12"/>
      <c r="J23" s="12"/>
    </row>
    <row r="24" spans="2:10" x14ac:dyDescent="0.3">
      <c r="B24" s="12"/>
      <c r="C24" s="12"/>
      <c r="D24" s="12"/>
      <c r="E24" s="12"/>
      <c r="F24" s="12"/>
      <c r="G24" s="12"/>
      <c r="H24" s="12"/>
      <c r="I24" s="12"/>
      <c r="J24" s="12"/>
    </row>
    <row r="25" spans="2:10" x14ac:dyDescent="0.3">
      <c r="B25" s="27" t="s">
        <v>73</v>
      </c>
      <c r="C25" s="28" t="s">
        <v>74</v>
      </c>
      <c r="D25" s="28" t="s">
        <v>75</v>
      </c>
      <c r="E25" s="29"/>
      <c r="F25" s="29"/>
      <c r="G25" s="29"/>
      <c r="H25" s="29"/>
      <c r="I25" s="29"/>
      <c r="J25" s="30"/>
    </row>
    <row r="26" spans="2:10" x14ac:dyDescent="0.3">
      <c r="B26" s="19" t="s">
        <v>76</v>
      </c>
      <c r="C26" s="51">
        <v>0</v>
      </c>
      <c r="D26" s="12" t="s">
        <v>77</v>
      </c>
      <c r="E26" s="12" t="s">
        <v>78</v>
      </c>
      <c r="F26" s="12" t="s">
        <v>79</v>
      </c>
      <c r="G26" s="12" t="s">
        <v>41</v>
      </c>
      <c r="H26" s="12"/>
      <c r="I26" s="12"/>
      <c r="J26" s="20"/>
    </row>
    <row r="27" spans="2:10" x14ac:dyDescent="0.3">
      <c r="B27" s="19" t="s">
        <v>31</v>
      </c>
      <c r="C27" s="51">
        <v>50</v>
      </c>
      <c r="D27" s="12" t="s">
        <v>32</v>
      </c>
      <c r="E27" s="12" t="s">
        <v>80</v>
      </c>
      <c r="F27" s="12" t="s">
        <v>37</v>
      </c>
      <c r="G27" s="12" t="s">
        <v>81</v>
      </c>
      <c r="H27" s="12" t="s">
        <v>35</v>
      </c>
      <c r="I27" s="12" t="s">
        <v>41</v>
      </c>
      <c r="J27" s="20"/>
    </row>
    <row r="28" spans="2:10" x14ac:dyDescent="0.3">
      <c r="B28" s="19" t="s">
        <v>34</v>
      </c>
      <c r="C28" s="51">
        <v>40</v>
      </c>
      <c r="D28" s="12" t="s">
        <v>82</v>
      </c>
      <c r="E28" s="12" t="s">
        <v>83</v>
      </c>
      <c r="F28" s="12" t="s">
        <v>84</v>
      </c>
      <c r="G28" s="12" t="s">
        <v>35</v>
      </c>
      <c r="H28" s="12" t="s">
        <v>41</v>
      </c>
      <c r="I28" s="12"/>
      <c r="J28" s="20"/>
    </row>
    <row r="29" spans="2:10" x14ac:dyDescent="0.3">
      <c r="B29" s="19" t="s">
        <v>44</v>
      </c>
      <c r="C29" s="51">
        <v>25</v>
      </c>
      <c r="D29" s="12" t="s">
        <v>45</v>
      </c>
      <c r="E29" s="12" t="s">
        <v>47</v>
      </c>
      <c r="F29" s="12" t="s">
        <v>49</v>
      </c>
      <c r="G29" s="12" t="s">
        <v>85</v>
      </c>
      <c r="H29" s="12" t="s">
        <v>35</v>
      </c>
      <c r="I29" s="12" t="s">
        <v>41</v>
      </c>
      <c r="J29" s="20"/>
    </row>
    <row r="30" spans="2:10" x14ac:dyDescent="0.3">
      <c r="B30" s="19" t="s">
        <v>52</v>
      </c>
      <c r="C30" s="51">
        <v>30</v>
      </c>
      <c r="D30" s="12" t="s">
        <v>86</v>
      </c>
      <c r="E30" s="12" t="s">
        <v>53</v>
      </c>
      <c r="F30" s="12" t="s">
        <v>87</v>
      </c>
      <c r="G30" s="12" t="s">
        <v>88</v>
      </c>
      <c r="H30" s="12" t="s">
        <v>35</v>
      </c>
      <c r="I30" s="12" t="s">
        <v>41</v>
      </c>
      <c r="J30" s="20"/>
    </row>
    <row r="31" spans="2:10" x14ac:dyDescent="0.3">
      <c r="B31" s="21" t="s">
        <v>89</v>
      </c>
      <c r="C31" s="51">
        <v>30</v>
      </c>
      <c r="D31" s="12" t="s">
        <v>90</v>
      </c>
      <c r="E31" s="12" t="s">
        <v>91</v>
      </c>
      <c r="F31" s="12" t="s">
        <v>92</v>
      </c>
      <c r="G31" s="12" t="s">
        <v>93</v>
      </c>
      <c r="H31" s="12" t="s">
        <v>94</v>
      </c>
      <c r="I31" s="12" t="s">
        <v>35</v>
      </c>
      <c r="J31" s="20" t="s">
        <v>41</v>
      </c>
    </row>
    <row r="32" spans="2:10" x14ac:dyDescent="0.3">
      <c r="B32" s="22" t="s">
        <v>40</v>
      </c>
      <c r="C32" s="52">
        <v>10</v>
      </c>
      <c r="D32" s="23" t="s">
        <v>41</v>
      </c>
      <c r="E32" s="23"/>
      <c r="F32" s="23"/>
      <c r="G32" s="23"/>
      <c r="H32" s="23"/>
      <c r="I32" s="23"/>
      <c r="J32" s="24"/>
    </row>
    <row r="33" spans="2:10" x14ac:dyDescent="0.3">
      <c r="B33" s="12"/>
      <c r="C33" s="12"/>
      <c r="D33" s="12"/>
      <c r="E33" s="12"/>
      <c r="F33" s="12"/>
      <c r="G33" s="12"/>
      <c r="H33" s="12"/>
      <c r="I33" s="12"/>
      <c r="J33" s="12"/>
    </row>
    <row r="34" spans="2:10" x14ac:dyDescent="0.3">
      <c r="B34" s="33" t="s">
        <v>95</v>
      </c>
      <c r="C34" s="34" t="s">
        <v>96</v>
      </c>
      <c r="D34" s="12"/>
      <c r="E34" s="12"/>
      <c r="F34" s="12"/>
      <c r="G34" s="12"/>
      <c r="H34" s="12"/>
      <c r="I34" s="12"/>
      <c r="J34" s="12"/>
    </row>
    <row r="35" spans="2:10" x14ac:dyDescent="0.3">
      <c r="B35" s="21" t="s">
        <v>30</v>
      </c>
      <c r="C35" s="31" t="s">
        <v>97</v>
      </c>
      <c r="D35" s="12"/>
      <c r="E35" s="12"/>
      <c r="F35" s="12"/>
      <c r="G35" s="12"/>
      <c r="H35" s="12"/>
      <c r="I35" s="12"/>
      <c r="J35" s="12"/>
    </row>
    <row r="36" spans="2:10" x14ac:dyDescent="0.3">
      <c r="B36" s="21" t="s">
        <v>43</v>
      </c>
      <c r="C36" s="20" t="s">
        <v>98</v>
      </c>
      <c r="D36" s="12"/>
      <c r="E36" s="12"/>
      <c r="F36" s="12"/>
      <c r="G36" s="12"/>
      <c r="H36" s="12"/>
      <c r="I36" s="12"/>
      <c r="J36" s="12"/>
    </row>
    <row r="37" spans="2:10" x14ac:dyDescent="0.3">
      <c r="B37" s="21" t="s">
        <v>99</v>
      </c>
      <c r="C37" s="20" t="s">
        <v>99</v>
      </c>
      <c r="D37" s="12"/>
      <c r="E37" s="12"/>
      <c r="F37" s="12"/>
      <c r="G37" s="12"/>
      <c r="H37" s="12"/>
      <c r="I37" s="12"/>
      <c r="J37" s="12"/>
    </row>
    <row r="38" spans="2:10" x14ac:dyDescent="0.3">
      <c r="B38" s="21" t="s">
        <v>51</v>
      </c>
      <c r="C38" s="20" t="s">
        <v>100</v>
      </c>
      <c r="D38" s="12"/>
      <c r="E38" s="12"/>
      <c r="F38" s="12"/>
      <c r="G38" s="12"/>
      <c r="H38" s="12"/>
      <c r="I38" s="12"/>
      <c r="J38" s="12"/>
    </row>
    <row r="39" spans="2:10" x14ac:dyDescent="0.3">
      <c r="B39" s="32" t="s">
        <v>40</v>
      </c>
      <c r="C39" s="24" t="s">
        <v>101</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Daniel</cp:lastModifiedBy>
  <cp:revision/>
  <dcterms:created xsi:type="dcterms:W3CDTF">2024-04-15T09:22:17Z</dcterms:created>
  <dcterms:modified xsi:type="dcterms:W3CDTF">2026-02-22T21:48:15Z</dcterms:modified>
  <cp:category/>
  <cp:contentStatus/>
</cp:coreProperties>
</file>